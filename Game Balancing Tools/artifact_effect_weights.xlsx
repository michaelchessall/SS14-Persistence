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ot" sheetId="2" state="visible" r:id="rId2"/>
    <sheet xmlns:r="http://schemas.openxmlformats.org/officeDocument/2006/relationships" name="Main" sheetId="3" state="visible" r:id="rId3"/>
    <sheet xmlns:r="http://schemas.openxmlformats.org/officeDocument/2006/relationships" name="De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6C3A87"/>
      <sz val="18"/>
    </font>
    <font>
      <name val="Arial"/>
      <color rgb="006A6A78"/>
      <sz val="9"/>
    </font>
    <font>
      <name val="Arial"/>
      <b val="1"/>
      <color rgb="006C3A87"/>
      <sz val="12"/>
    </font>
    <font>
      <name val="Arial"/>
      <color rgb="001B1B24"/>
      <sz val="11"/>
    </font>
    <font>
      <name val="Arial"/>
      <b val="1"/>
      <color rgb="00C0392B"/>
      <sz val="12"/>
    </font>
    <font>
      <name val="Arial"/>
      <b val="1"/>
      <color rgb="00FFFFFF"/>
      <sz val="15"/>
    </font>
    <font>
      <name val="Arial"/>
      <b val="1"/>
    </font>
    <font>
      <name val="Arial"/>
      <i val="1"/>
      <color rgb="00C0392B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107C10"/>
    </font>
  </fonts>
  <fills count="6">
    <fill>
      <patternFill/>
    </fill>
    <fill>
      <patternFill patternType="gray125"/>
    </fill>
    <fill>
      <patternFill patternType="solid">
        <fgColor rgb="006C3A87"/>
      </patternFill>
    </fill>
    <fill>
      <patternFill patternType="solid">
        <fgColor rgb="001F2A44"/>
      </patternFill>
    </fill>
    <fill>
      <patternFill patternType="solid">
        <fgColor rgb="00FFF6CC"/>
      </patternFill>
    </fill>
    <fill>
      <patternFill patternType="solid">
        <fgColor rgb="00F0EAF6"/>
      </patternFill>
    </fill>
  </fills>
  <borders count="2">
    <border>
      <left/>
      <right/>
      <top/>
      <bottom/>
      <diagonal/>
    </border>
    <border>
      <left style="thin">
        <color rgb="00D0CCE0"/>
      </left>
      <right style="thin">
        <color rgb="00D0CCE0"/>
      </right>
      <top style="thin">
        <color rgb="00D0CCE0"/>
      </top>
      <bottom style="thin">
        <color rgb="00D0CC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1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tables</author>
  </authors>
  <commentList>
    <comment ref="A6" authorId="0" shapeId="0">
      <text>
        <t>XenoArtifactAnomalySpawn</t>
      </text>
    </comment>
    <comment ref="A7" authorId="0" shapeId="0">
      <text>
        <t>XenoArtifactArtifactSpawn</t>
      </text>
    </comment>
    <comment ref="A8" authorId="0" shapeId="0">
      <text>
        <t>XenoArtifactEffectBadFeeling</t>
      </text>
    </comment>
    <comment ref="A9" authorId="0" shapeId="0">
      <text>
        <t>XenoArtifactBoom</t>
      </text>
    </comment>
    <comment ref="A10" authorId="0" shapeId="0">
      <text>
        <t>XenoArtifactCashSpawn</t>
      </text>
    </comment>
    <comment ref="A11" authorId="0" shapeId="0">
      <text>
        <t>XenoArtifactOldCashSpawn</t>
      </text>
    </comment>
    <comment ref="A12" authorId="0" shapeId="0">
      <text>
        <t>XenoArtifactChargeBatteryLow</t>
      </text>
    </comment>
    <comment ref="A13" authorId="0" shapeId="0">
      <text>
        <t>XenoArtifactChargeBattery</t>
      </text>
    </comment>
    <comment ref="A14" authorId="0" shapeId="0">
      <text>
        <t>XenoArtifactChemicalPuddle</t>
      </text>
    </comment>
    <comment ref="A15" authorId="0" shapeId="0">
      <text>
        <t>XenoArtifactColdWave</t>
      </text>
    </comment>
    <comment ref="A16" authorId="0" shapeId="0">
      <text>
        <t>XenoArtifactEffectCreationGasAmmonia</t>
      </text>
    </comment>
    <comment ref="A17" authorId="0" shapeId="0">
      <text>
        <t>XenoArtifactEffectCreationGasCarbonDioxide</t>
      </text>
    </comment>
    <comment ref="A18" authorId="0" shapeId="0">
      <text>
        <t>XenoArtifactEffectCreationGasFrezon</t>
      </text>
    </comment>
    <comment ref="A19" authorId="0" shapeId="0">
      <text>
        <t>XenoArtifactEffectCreationGasNitrousOxide</t>
      </text>
    </comment>
    <comment ref="A20" authorId="0" shapeId="0">
      <text>
        <t>XenoArtifactEffectCreationGasPlasma</t>
      </text>
    </comment>
    <comment ref="A21" authorId="0" shapeId="0">
      <text>
        <t>XenoArtifactEffectCreationGasTritium</t>
      </text>
    </comment>
    <comment ref="A22" authorId="0" shapeId="0">
      <text>
        <t>XenoArtifactEmp</t>
      </text>
    </comment>
    <comment ref="A23" authorId="0" shapeId="0">
      <text>
        <t>XenoArtifactExplosionScary</t>
      </text>
    </comment>
    <comment ref="A24" authorId="0" shapeId="0">
      <text>
        <t>XenoArtifactFaunaSpawn</t>
      </text>
    </comment>
    <comment ref="A25" authorId="0" shapeId="0">
      <text>
        <t>XenoArtifactFloraSpawn</t>
      </text>
    </comment>
    <comment ref="A26" authorId="0" shapeId="0">
      <text>
        <t>XenoArtifactFoamDangerous</t>
      </text>
    </comment>
    <comment ref="A27" authorId="0" shapeId="0">
      <text>
        <t>XenoArtifactFoamGood</t>
      </text>
    </comment>
    <comment ref="A28" authorId="0" shapeId="0">
      <text>
        <t>XenoArtifactFoamMild</t>
      </text>
    </comment>
    <comment ref="A29" authorId="0" shapeId="0">
      <text>
        <t>XenoArtifactEffectGoodFeeling</t>
      </text>
    </comment>
    <comment ref="A30" authorId="0" shapeId="0">
      <text>
        <t>XenoArtifactHealBrute</t>
      </text>
    </comment>
    <comment ref="A31" authorId="0" shapeId="0">
      <text>
        <t>XenoArtifactHealBurn</t>
      </text>
    </comment>
    <comment ref="A32" authorId="0" shapeId="0">
      <text>
        <t>XenoArtifactHealRare</t>
      </text>
    </comment>
    <comment ref="A33" authorId="0" shapeId="0">
      <text>
        <t>XenoArtifactHealAll</t>
      </text>
    </comment>
    <comment ref="A34" authorId="0" shapeId="0">
      <text>
        <t>XenoArtifactHeatWave</t>
      </text>
    </comment>
    <comment ref="A35" authorId="0" shapeId="0">
      <text>
        <t>XenoArtifactHostileFaunaSpawn</t>
      </text>
    </comment>
    <comment ref="A36" authorId="0" shapeId="0">
      <text>
        <t>XenoArtifactIgnite</t>
      </text>
    </comment>
    <comment ref="A37" authorId="0" shapeId="0">
      <text>
        <t>XenoArtifactEffectJunkSpawn</t>
      </text>
    </comment>
    <comment ref="A38" authorId="0" shapeId="0">
      <text>
        <t>XenoArtifactKnock</t>
      </text>
    </comment>
    <comment ref="A39" authorId="0" shapeId="0">
      <text>
        <t>XenoArtifactEffectLightFlicker</t>
      </text>
    </comment>
    <comment ref="A40" authorId="0" shapeId="0">
      <text>
        <t>XenoArtifactMagnet</t>
      </text>
    </comment>
    <comment ref="A41" authorId="0" shapeId="0">
      <text>
        <t>XenoArtifactMagnetNegative</t>
      </text>
    </comment>
    <comment ref="A42" authorId="0" shapeId="0">
      <text>
        <t>XenoArtifactMonkeySpawn</t>
      </text>
    </comment>
    <comment ref="A43" authorId="0" shapeId="0">
      <text>
        <t>XenoArtifactPhasing</t>
      </text>
    </comment>
    <comment ref="A44" authorId="0" shapeId="0">
      <text>
        <t>XenoArtifactPolyLuminous</t>
      </text>
    </comment>
    <comment ref="A45" authorId="0" shapeId="0">
      <text>
        <t>XenoArtifactPolyLizard</t>
      </text>
    </comment>
    <comment ref="A46" authorId="0" shapeId="0">
      <text>
        <t>XenoArtifactPolyMonkey</t>
      </text>
    </comment>
    <comment ref="A47" authorId="0" shapeId="0">
      <text>
        <t>XenoArtifactPortal</t>
      </text>
    </comment>
    <comment ref="A48" authorId="0" shapeId="0">
      <text>
        <t>XenoArtifactPotassiumWave</t>
      </text>
    </comment>
    <comment ref="A49" authorId="0" shapeId="0">
      <text>
        <t>XenoArtifactPuddleRare</t>
      </text>
    </comment>
    <comment ref="A50" authorId="0" shapeId="0">
      <text>
        <t>XenoArtifactRadioactive</t>
      </text>
    </comment>
    <comment ref="A51" authorId="0" shapeId="0">
      <text>
        <t>XenoArtifactRadioactiveStrong</t>
      </text>
    </comment>
    <comment ref="A52" authorId="0" shapeId="0">
      <text>
        <t>XenoArtifactRandomInstrumentSpawn</t>
      </text>
    </comment>
    <comment ref="A53" authorId="0" shapeId="0">
      <text>
        <t>XenoArtifactShatterWindows</t>
      </text>
    </comment>
    <comment ref="A54" authorId="0" shapeId="0">
      <text>
        <t>XenoArtifactShuffle</t>
      </text>
    </comment>
    <comment ref="A55" authorId="0" shapeId="0">
      <text>
        <t>XenoArtifactSolutionStorage</t>
      </text>
    </comment>
    <comment ref="A56" authorId="0" shapeId="0">
      <text>
        <t>XenoArtifactAngryCarpSpawn</t>
      </text>
    </comment>
    <comment ref="A57" authorId="0" shapeId="0">
      <text>
        <t>XenoArtifactMaterialSpawnGlassFew</t>
      </text>
    </comment>
    <comment ref="A58" authorId="0" shapeId="0">
      <text>
        <t>XenoArtifactMaterialSpawnGlassMany</t>
      </text>
    </comment>
    <comment ref="A59" authorId="0" shapeId="0">
      <text>
        <t>XenoArtifactMaterialSpawnGlassStack</t>
      </text>
    </comment>
    <comment ref="A60" authorId="0" shapeId="0">
      <text>
        <t>XenoArtifactMaterialSpawnSteelFew</t>
      </text>
    </comment>
    <comment ref="A61" authorId="0" shapeId="0">
      <text>
        <t>XenoArtifactMaterialSpawnSteelMany</t>
      </text>
    </comment>
    <comment ref="A62" authorId="0" shapeId="0">
      <text>
        <t>XenoArtifactMaterialSpawnSteelStack</t>
      </text>
    </comment>
    <comment ref="A63" authorId="0" shapeId="0">
      <text>
        <t>XenoArtifactMaterialSpawnPlasticFew</t>
      </text>
    </comment>
    <comment ref="A64" authorId="0" shapeId="0">
      <text>
        <t>XenoArtifactMaterialSpawnPlasticMany</t>
      </text>
    </comment>
    <comment ref="A65" authorId="0" shapeId="0">
      <text>
        <t>XenoArtifactMaterialSpawnPlasticStack</t>
      </text>
    </comment>
    <comment ref="A66" authorId="0" shapeId="0">
      <text>
        <t>XenoArtifactRawMaterialSpawnBananiumFew</t>
      </text>
    </comment>
    <comment ref="A67" authorId="0" shapeId="0">
      <text>
        <t>XenoArtifactRawMaterialSpawnBananiumMore</t>
      </text>
    </comment>
    <comment ref="A68" authorId="0" shapeId="0">
      <text>
        <t>XenoArtifactRawMaterialSpawnBananiumMany</t>
      </text>
    </comment>
    <comment ref="A69" authorId="0" shapeId="0">
      <text>
        <t>XenoArtifactRawMaterialSpawnGoldFew</t>
      </text>
    </comment>
    <comment ref="A70" authorId="0" shapeId="0">
      <text>
        <t>XenoArtifactRawMaterialSpawnGoldMore</t>
      </text>
    </comment>
    <comment ref="A71" authorId="0" shapeId="0">
      <text>
        <t>XenoArtifactRawMaterialSpawnGoldMany</t>
      </text>
    </comment>
    <comment ref="A72" authorId="0" shapeId="0">
      <text>
        <t>XenoArtifactRawMaterialSpawnPlasmaFew</t>
      </text>
    </comment>
    <comment ref="A73" authorId="0" shapeId="0">
      <text>
        <t>XenoArtifactRawMaterialSpawnPlasmaMore</t>
      </text>
    </comment>
    <comment ref="A74" authorId="0" shapeId="0">
      <text>
        <t>XenoArtifactRawMaterialSpawnPlasmaMany</t>
      </text>
    </comment>
    <comment ref="A75" authorId="0" shapeId="0">
      <text>
        <t>XenoArtifactRawMaterialSpawnSilverFew</t>
      </text>
    </comment>
    <comment ref="A76" authorId="0" shapeId="0">
      <text>
        <t>XenoArtifactRawMaterialSpawnSilverMore</t>
      </text>
    </comment>
    <comment ref="A77" authorId="0" shapeId="0">
      <text>
        <t>XenoArtifactRawMaterialSpawnSilverMany</t>
      </text>
    </comment>
    <comment ref="A78" authorId="0" shapeId="0">
      <text>
        <t>XenoArtifactRawMaterialSpawnUraniumFew</t>
      </text>
    </comment>
    <comment ref="A79" authorId="0" shapeId="0">
      <text>
        <t>XenoArtifactRawMaterialSpawnUraniumMore</t>
      </text>
    </comment>
    <comment ref="A80" authorId="0" shapeId="0">
      <text>
        <t>XenoArtifactRawMaterialSpawnUraniumMany</t>
      </text>
    </comment>
    <comment ref="A81" authorId="0" shapeId="0">
      <text>
        <t>XenoArtifactStealth</t>
      </text>
    </comment>
    <comment ref="A82" authorId="0" shapeId="0">
      <text>
        <t>XenoArtifactTeleport</t>
      </text>
    </comment>
    <comment ref="A83" authorId="0" shapeId="0">
      <text>
        <t>XenoArtifactThrowThingsAround</t>
      </text>
    </comment>
    <comment ref="A84" authorId="0" shapeId="0">
      <text>
        <t>XenoArtifactWandering</t>
      </text>
    </comment>
    <comment ref="A85" authorId="0" shapeId="0">
      <text>
        <t>XenoArtifactSpeedUp</t>
      </text>
    </comment>
    <comment ref="A86" authorId="0" shapeId="0">
      <text>
        <t>XenoArtifactToolCrowbar</t>
      </text>
    </comment>
    <comment ref="A87" authorId="0" shapeId="0">
      <text>
        <t>XenoArtifactToolScrewdriver</t>
      </text>
    </comment>
    <comment ref="A88" authorId="0" shapeId="0">
      <text>
        <t>XenoArtifactToolWrench</t>
      </text>
    </comment>
    <comment ref="A89" authorId="0" shapeId="0">
      <text>
        <t>XenoArtifactToolWirecutter</t>
      </text>
    </comment>
    <comment ref="A90" authorId="0" shapeId="0">
      <text>
        <t>XenoArtifactToolJaws</t>
      </text>
    </comment>
    <comment ref="A91" authorId="0" shapeId="0">
      <text>
        <t>XenoArtifactToolPowerDrill</t>
      </text>
    </comment>
    <comment ref="A92" authorId="0" shapeId="0">
      <text>
        <t>XenoArtifactToolKnife</t>
      </text>
    </comment>
    <comment ref="A93" authorId="0" shapeId="0">
      <text>
        <t>XenoArtifactOmnitool</t>
      </text>
    </comment>
    <comment ref="A94" authorId="0" shapeId="0">
      <text>
        <t>XenoArtifactToolDrill</t>
      </text>
    </comment>
  </commentList>
</comments>
</file>

<file path=xl/comments/comment2.xml><?xml version="1.0" encoding="utf-8"?>
<comments xmlns="http://schemas.openxmlformats.org/spreadsheetml/2006/main">
  <authors>
    <author>tables</author>
  </authors>
  <commentList>
    <comment ref="A6" authorId="0" shapeId="0">
      <text>
        <t>XenoArtifactAnomalySpawn</t>
      </text>
    </comment>
    <comment ref="A7" authorId="0" shapeId="0">
      <text>
        <t>XenoArtifactArtifactSpawn</t>
      </text>
    </comment>
    <comment ref="A8" authorId="0" shapeId="0">
      <text>
        <t>XenoArtifactEffectBadFeeling</t>
      </text>
    </comment>
    <comment ref="A9" authorId="0" shapeId="0">
      <text>
        <t>XenoArtifactBoom</t>
      </text>
    </comment>
    <comment ref="A10" authorId="0" shapeId="0">
      <text>
        <t>XenoArtifactCashSpawn</t>
      </text>
    </comment>
    <comment ref="A11" authorId="0" shapeId="0">
      <text>
        <t>XenoArtifactOldCashSpawn</t>
      </text>
    </comment>
    <comment ref="A12" authorId="0" shapeId="0">
      <text>
        <t>XenoArtifactChargeBatteryLow</t>
      </text>
    </comment>
    <comment ref="A13" authorId="0" shapeId="0">
      <text>
        <t>XenoArtifactChargeBattery</t>
      </text>
    </comment>
    <comment ref="A14" authorId="0" shapeId="0">
      <text>
        <t>XenoArtifactChemicalPuddle</t>
      </text>
    </comment>
    <comment ref="A15" authorId="0" shapeId="0">
      <text>
        <t>XenoArtifactColdWave</t>
      </text>
    </comment>
    <comment ref="A16" authorId="0" shapeId="0">
      <text>
        <t>XenoArtifactEffectCreationGasAmmonia</t>
      </text>
    </comment>
    <comment ref="A17" authorId="0" shapeId="0">
      <text>
        <t>XenoArtifactEffectCreationGasCarbonDioxide</t>
      </text>
    </comment>
    <comment ref="A18" authorId="0" shapeId="0">
      <text>
        <t>XenoArtifactEffectCreationGasFrezon</t>
      </text>
    </comment>
    <comment ref="A19" authorId="0" shapeId="0">
      <text>
        <t>XenoArtifactEffectCreationGasNitrousOxide</t>
      </text>
    </comment>
    <comment ref="A20" authorId="0" shapeId="0">
      <text>
        <t>XenoArtifactEffectCreationGasPlasma</t>
      </text>
    </comment>
    <comment ref="A21" authorId="0" shapeId="0">
      <text>
        <t>XenoArtifactEffectCreationGasTritium</t>
      </text>
    </comment>
    <comment ref="A22" authorId="0" shapeId="0">
      <text>
        <t>XenoArtifactEmp</t>
      </text>
    </comment>
    <comment ref="A23" authorId="0" shapeId="0">
      <text>
        <t>XenoArtifactExplosionScary</t>
      </text>
    </comment>
    <comment ref="A24" authorId="0" shapeId="0">
      <text>
        <t>XenoArtifactFaunaSpawn</t>
      </text>
    </comment>
    <comment ref="A25" authorId="0" shapeId="0">
      <text>
        <t>XenoArtifactFloraSpawn</t>
      </text>
    </comment>
    <comment ref="A26" authorId="0" shapeId="0">
      <text>
        <t>XenoArtifactFoamDangerous</t>
      </text>
    </comment>
    <comment ref="A27" authorId="0" shapeId="0">
      <text>
        <t>XenoArtifactFoamGood</t>
      </text>
    </comment>
    <comment ref="A28" authorId="0" shapeId="0">
      <text>
        <t>XenoArtifactFoamMild</t>
      </text>
    </comment>
    <comment ref="A29" authorId="0" shapeId="0">
      <text>
        <t>XenoArtifactEffectGoodFeeling</t>
      </text>
    </comment>
    <comment ref="A30" authorId="0" shapeId="0">
      <text>
        <t>XenoArtifactHealBrute</t>
      </text>
    </comment>
    <comment ref="A31" authorId="0" shapeId="0">
      <text>
        <t>XenoArtifactHealBurn</t>
      </text>
    </comment>
    <comment ref="A32" authorId="0" shapeId="0">
      <text>
        <t>XenoArtifactHealRare</t>
      </text>
    </comment>
    <comment ref="A33" authorId="0" shapeId="0">
      <text>
        <t>XenoArtifactHealAll</t>
      </text>
    </comment>
    <comment ref="A34" authorId="0" shapeId="0">
      <text>
        <t>XenoArtifactHeatWave</t>
      </text>
    </comment>
    <comment ref="A35" authorId="0" shapeId="0">
      <text>
        <t>XenoArtifactHostileFaunaSpawn</t>
      </text>
    </comment>
    <comment ref="A36" authorId="0" shapeId="0">
      <text>
        <t>XenoArtifactIgnite</t>
      </text>
    </comment>
    <comment ref="A37" authorId="0" shapeId="0">
      <text>
        <t>XenoArtifactEffectJunkSpawn</t>
      </text>
    </comment>
    <comment ref="A38" authorId="0" shapeId="0">
      <text>
        <t>XenoArtifactKnock</t>
      </text>
    </comment>
    <comment ref="A39" authorId="0" shapeId="0">
      <text>
        <t>XenoArtifactEffectLightFlicker</t>
      </text>
    </comment>
    <comment ref="A40" authorId="0" shapeId="0">
      <text>
        <t>XenoArtifactMagnet</t>
      </text>
    </comment>
    <comment ref="A41" authorId="0" shapeId="0">
      <text>
        <t>XenoArtifactMagnetNegative</t>
      </text>
    </comment>
    <comment ref="A42" authorId="0" shapeId="0">
      <text>
        <t>XenoArtifactMonkeySpawn</t>
      </text>
    </comment>
    <comment ref="A43" authorId="0" shapeId="0">
      <text>
        <t>XenoArtifactPhasing</t>
      </text>
    </comment>
    <comment ref="A44" authorId="0" shapeId="0">
      <text>
        <t>XenoArtifactPolyLuminous</t>
      </text>
    </comment>
    <comment ref="A45" authorId="0" shapeId="0">
      <text>
        <t>XenoArtifactPolyLizard</t>
      </text>
    </comment>
    <comment ref="A46" authorId="0" shapeId="0">
      <text>
        <t>XenoArtifactPolyMonkey</t>
      </text>
    </comment>
    <comment ref="A47" authorId="0" shapeId="0">
      <text>
        <t>XenoArtifactPortal</t>
      </text>
    </comment>
    <comment ref="A48" authorId="0" shapeId="0">
      <text>
        <t>XenoArtifactPotassiumWave</t>
      </text>
    </comment>
    <comment ref="A49" authorId="0" shapeId="0">
      <text>
        <t>XenoArtifactPuddleRare</t>
      </text>
    </comment>
    <comment ref="A50" authorId="0" shapeId="0">
      <text>
        <t>XenoArtifactRadioactive</t>
      </text>
    </comment>
    <comment ref="A51" authorId="0" shapeId="0">
      <text>
        <t>XenoArtifactRadioactiveStrong</t>
      </text>
    </comment>
    <comment ref="A52" authorId="0" shapeId="0">
      <text>
        <t>XenoArtifactRandomInstrumentSpawn</t>
      </text>
    </comment>
    <comment ref="A53" authorId="0" shapeId="0">
      <text>
        <t>XenoArtifactShatterWindows</t>
      </text>
    </comment>
    <comment ref="A54" authorId="0" shapeId="0">
      <text>
        <t>XenoArtifactShuffle</t>
      </text>
    </comment>
    <comment ref="A55" authorId="0" shapeId="0">
      <text>
        <t>XenoArtifactSolutionStorage</t>
      </text>
    </comment>
    <comment ref="A56" authorId="0" shapeId="0">
      <text>
        <t>XenoArtifactAngryCarpSpawn</t>
      </text>
    </comment>
    <comment ref="A57" authorId="0" shapeId="0">
      <text>
        <t>XenoArtifactMaterialSpawnGlassFew</t>
      </text>
    </comment>
    <comment ref="A58" authorId="0" shapeId="0">
      <text>
        <t>XenoArtifactMaterialSpawnGlassMany</t>
      </text>
    </comment>
    <comment ref="A59" authorId="0" shapeId="0">
      <text>
        <t>XenoArtifactMaterialSpawnGlassStack</t>
      </text>
    </comment>
    <comment ref="A60" authorId="0" shapeId="0">
      <text>
        <t>XenoArtifactMaterialSpawnSteelFew</t>
      </text>
    </comment>
    <comment ref="A61" authorId="0" shapeId="0">
      <text>
        <t>XenoArtifactMaterialSpawnSteelMany</t>
      </text>
    </comment>
    <comment ref="A62" authorId="0" shapeId="0">
      <text>
        <t>XenoArtifactMaterialSpawnSteelStack</t>
      </text>
    </comment>
    <comment ref="A63" authorId="0" shapeId="0">
      <text>
        <t>XenoArtifactMaterialSpawnPlasticFew</t>
      </text>
    </comment>
    <comment ref="A64" authorId="0" shapeId="0">
      <text>
        <t>XenoArtifactMaterialSpawnPlasticMany</t>
      </text>
    </comment>
    <comment ref="A65" authorId="0" shapeId="0">
      <text>
        <t>XenoArtifactMaterialSpawnPlasticStack</t>
      </text>
    </comment>
    <comment ref="A66" authorId="0" shapeId="0">
      <text>
        <t>XenoArtifactRawMaterialSpawnBananiumFew</t>
      </text>
    </comment>
    <comment ref="A67" authorId="0" shapeId="0">
      <text>
        <t>XenoArtifactRawMaterialSpawnBananiumMore</t>
      </text>
    </comment>
    <comment ref="A68" authorId="0" shapeId="0">
      <text>
        <t>XenoArtifactRawMaterialSpawnBananiumMany</t>
      </text>
    </comment>
    <comment ref="A69" authorId="0" shapeId="0">
      <text>
        <t>XenoArtifactRawMaterialSpawnGoldFew</t>
      </text>
    </comment>
    <comment ref="A70" authorId="0" shapeId="0">
      <text>
        <t>XenoArtifactRawMaterialSpawnGoldMore</t>
      </text>
    </comment>
    <comment ref="A71" authorId="0" shapeId="0">
      <text>
        <t>XenoArtifactRawMaterialSpawnGoldMany</t>
      </text>
    </comment>
    <comment ref="A72" authorId="0" shapeId="0">
      <text>
        <t>XenoArtifactRawMaterialSpawnPlasmaFew</t>
      </text>
    </comment>
    <comment ref="A73" authorId="0" shapeId="0">
      <text>
        <t>XenoArtifactRawMaterialSpawnPlasmaMore</t>
      </text>
    </comment>
    <comment ref="A74" authorId="0" shapeId="0">
      <text>
        <t>XenoArtifactRawMaterialSpawnPlasmaMany</t>
      </text>
    </comment>
    <comment ref="A75" authorId="0" shapeId="0">
      <text>
        <t>XenoArtifactRawMaterialSpawnSilverFew</t>
      </text>
    </comment>
    <comment ref="A76" authorId="0" shapeId="0">
      <text>
        <t>XenoArtifactRawMaterialSpawnSilverMore</t>
      </text>
    </comment>
    <comment ref="A77" authorId="0" shapeId="0">
      <text>
        <t>XenoArtifactRawMaterialSpawnSilverMany</t>
      </text>
    </comment>
    <comment ref="A78" authorId="0" shapeId="0">
      <text>
        <t>XenoArtifactRawMaterialSpawnUraniumFew</t>
      </text>
    </comment>
    <comment ref="A79" authorId="0" shapeId="0">
      <text>
        <t>XenoArtifactRawMaterialSpawnUraniumMore</t>
      </text>
    </comment>
    <comment ref="A80" authorId="0" shapeId="0">
      <text>
        <t>XenoArtifactRawMaterialSpawnUraniumMany</t>
      </text>
    </comment>
    <comment ref="A81" authorId="0" shapeId="0">
      <text>
        <t>XenoArtifactStealth</t>
      </text>
    </comment>
    <comment ref="A82" authorId="0" shapeId="0">
      <text>
        <t>XenoArtifactTeleport</t>
      </text>
    </comment>
    <comment ref="A83" authorId="0" shapeId="0">
      <text>
        <t>XenoArtifactThrowThingsAround</t>
      </text>
    </comment>
    <comment ref="A84" authorId="0" shapeId="0">
      <text>
        <t>XenoArtifactWandering</t>
      </text>
    </comment>
    <comment ref="A85" authorId="0" shapeId="0">
      <text>
        <t>XenoArtifactSpeedUp</t>
      </text>
    </comment>
    <comment ref="A86" authorId="0" shapeId="0">
      <text>
        <t>XenoArtifactToolCrowbar</t>
      </text>
    </comment>
    <comment ref="A87" authorId="0" shapeId="0">
      <text>
        <t>XenoArtifactToolScrewdriver</t>
      </text>
    </comment>
    <comment ref="A88" authorId="0" shapeId="0">
      <text>
        <t>XenoArtifactToolWrench</t>
      </text>
    </comment>
    <comment ref="A89" authorId="0" shapeId="0">
      <text>
        <t>XenoArtifactToolWirecutter</t>
      </text>
    </comment>
    <comment ref="A90" authorId="0" shapeId="0">
      <text>
        <t>XenoArtifactToolJaws</t>
      </text>
    </comment>
    <comment ref="A91" authorId="0" shapeId="0">
      <text>
        <t>XenoArtifactToolPowerDrill</t>
      </text>
    </comment>
    <comment ref="A92" authorId="0" shapeId="0">
      <text>
        <t>XenoArtifactToolKnife</t>
      </text>
    </comment>
    <comment ref="A93" authorId="0" shapeId="0">
      <text>
        <t>XenoArtifactOmnitool</t>
      </text>
    </comment>
    <comment ref="A94" authorId="0" shapeId="0">
      <text>
        <t>XenoArtifactToolDrill</t>
      </text>
    </comment>
  </commentList>
</comments>
</file>

<file path=xl/comments/comment3.xml><?xml version="1.0" encoding="utf-8"?>
<comments xmlns="http://schemas.openxmlformats.org/spreadsheetml/2006/main">
  <authors>
    <author>tables</author>
  </authors>
  <commentList>
    <comment ref="A6" authorId="0" shapeId="0">
      <text>
        <t>XenoArtifactAnomalySpawn</t>
      </text>
    </comment>
    <comment ref="A7" authorId="0" shapeId="0">
      <text>
        <t>XenoArtifactArtifactSpawn</t>
      </text>
    </comment>
    <comment ref="A8" authorId="0" shapeId="0">
      <text>
        <t>XenoArtifactEffectBadFeeling</t>
      </text>
    </comment>
    <comment ref="A9" authorId="0" shapeId="0">
      <text>
        <t>XenoArtifactBoom</t>
      </text>
    </comment>
    <comment ref="A10" authorId="0" shapeId="0">
      <text>
        <t>XenoArtifactCashSpawn</t>
      </text>
    </comment>
    <comment ref="A11" authorId="0" shapeId="0">
      <text>
        <t>XenoArtifactOldCashSpawn</t>
      </text>
    </comment>
    <comment ref="A12" authorId="0" shapeId="0">
      <text>
        <t>XenoArtifactChargeBatteryLow</t>
      </text>
    </comment>
    <comment ref="A13" authorId="0" shapeId="0">
      <text>
        <t>XenoArtifactChargeBattery</t>
      </text>
    </comment>
    <comment ref="A14" authorId="0" shapeId="0">
      <text>
        <t>XenoArtifactChemicalPuddle</t>
      </text>
    </comment>
    <comment ref="A15" authorId="0" shapeId="0">
      <text>
        <t>XenoArtifactColdWave</t>
      </text>
    </comment>
    <comment ref="A16" authorId="0" shapeId="0">
      <text>
        <t>XenoArtifactEffectCreationGasAmmonia</t>
      </text>
    </comment>
    <comment ref="A17" authorId="0" shapeId="0">
      <text>
        <t>XenoArtifactEffectCreationGasCarbonDioxide</t>
      </text>
    </comment>
    <comment ref="A18" authorId="0" shapeId="0">
      <text>
        <t>XenoArtifactEffectCreationGasFrezon</t>
      </text>
    </comment>
    <comment ref="A19" authorId="0" shapeId="0">
      <text>
        <t>XenoArtifactEffectCreationGasNitrousOxide</t>
      </text>
    </comment>
    <comment ref="A20" authorId="0" shapeId="0">
      <text>
        <t>XenoArtifactEffectCreationGasPlasma</t>
      </text>
    </comment>
    <comment ref="A21" authorId="0" shapeId="0">
      <text>
        <t>XenoArtifactEffectCreationGasTritium</t>
      </text>
    </comment>
    <comment ref="A22" authorId="0" shapeId="0">
      <text>
        <t>XenoArtifactEmp</t>
      </text>
    </comment>
    <comment ref="A23" authorId="0" shapeId="0">
      <text>
        <t>XenoArtifactExplosionScary</t>
      </text>
    </comment>
    <comment ref="A24" authorId="0" shapeId="0">
      <text>
        <t>XenoArtifactFaunaSpawn</t>
      </text>
    </comment>
    <comment ref="A25" authorId="0" shapeId="0">
      <text>
        <t>XenoArtifactFloraSpawn</t>
      </text>
    </comment>
    <comment ref="A26" authorId="0" shapeId="0">
      <text>
        <t>XenoArtifactFoamDangerous</t>
      </text>
    </comment>
    <comment ref="A27" authorId="0" shapeId="0">
      <text>
        <t>XenoArtifactFoamGood</t>
      </text>
    </comment>
    <comment ref="A28" authorId="0" shapeId="0">
      <text>
        <t>XenoArtifactFoamMild</t>
      </text>
    </comment>
    <comment ref="A29" authorId="0" shapeId="0">
      <text>
        <t>XenoArtifactEffectGoodFeeling</t>
      </text>
    </comment>
    <comment ref="A30" authorId="0" shapeId="0">
      <text>
        <t>XenoArtifactHealBrute</t>
      </text>
    </comment>
    <comment ref="A31" authorId="0" shapeId="0">
      <text>
        <t>XenoArtifactHealBurn</t>
      </text>
    </comment>
    <comment ref="A32" authorId="0" shapeId="0">
      <text>
        <t>XenoArtifactHealRare</t>
      </text>
    </comment>
    <comment ref="A33" authorId="0" shapeId="0">
      <text>
        <t>XenoArtifactHealAll</t>
      </text>
    </comment>
    <comment ref="A34" authorId="0" shapeId="0">
      <text>
        <t>XenoArtifactHeatWave</t>
      </text>
    </comment>
    <comment ref="A35" authorId="0" shapeId="0">
      <text>
        <t>XenoArtifactHostileFaunaSpawn</t>
      </text>
    </comment>
    <comment ref="A36" authorId="0" shapeId="0">
      <text>
        <t>XenoArtifactIgnite</t>
      </text>
    </comment>
    <comment ref="A37" authorId="0" shapeId="0">
      <text>
        <t>XenoArtifactEffectJunkSpawn</t>
      </text>
    </comment>
    <comment ref="A38" authorId="0" shapeId="0">
      <text>
        <t>XenoArtifactKnock</t>
      </text>
    </comment>
    <comment ref="A39" authorId="0" shapeId="0">
      <text>
        <t>XenoArtifactEffectLightFlicker</t>
      </text>
    </comment>
    <comment ref="A40" authorId="0" shapeId="0">
      <text>
        <t>XenoArtifactMagnet</t>
      </text>
    </comment>
    <comment ref="A41" authorId="0" shapeId="0">
      <text>
        <t>XenoArtifactMagnetNegative</t>
      </text>
    </comment>
    <comment ref="A42" authorId="0" shapeId="0">
      <text>
        <t>XenoArtifactMonkeySpawn</t>
      </text>
    </comment>
    <comment ref="A43" authorId="0" shapeId="0">
      <text>
        <t>XenoArtifactPhasing</t>
      </text>
    </comment>
    <comment ref="A44" authorId="0" shapeId="0">
      <text>
        <t>XenoArtifactPolyLuminous</t>
      </text>
    </comment>
    <comment ref="A45" authorId="0" shapeId="0">
      <text>
        <t>XenoArtifactPolyLizard</t>
      </text>
    </comment>
    <comment ref="A46" authorId="0" shapeId="0">
      <text>
        <t>XenoArtifactPolyMonkey</t>
      </text>
    </comment>
    <comment ref="A47" authorId="0" shapeId="0">
      <text>
        <t>XenoArtifactPortal</t>
      </text>
    </comment>
    <comment ref="A48" authorId="0" shapeId="0">
      <text>
        <t>XenoArtifactPotassiumWave</t>
      </text>
    </comment>
    <comment ref="A49" authorId="0" shapeId="0">
      <text>
        <t>XenoArtifactPuddleRare</t>
      </text>
    </comment>
    <comment ref="A50" authorId="0" shapeId="0">
      <text>
        <t>XenoArtifactRadioactive</t>
      </text>
    </comment>
    <comment ref="A51" authorId="0" shapeId="0">
      <text>
        <t>XenoArtifactRadioactiveStrong</t>
      </text>
    </comment>
    <comment ref="A52" authorId="0" shapeId="0">
      <text>
        <t>XenoArtifactRandomInstrumentSpawn</t>
      </text>
    </comment>
    <comment ref="A53" authorId="0" shapeId="0">
      <text>
        <t>XenoArtifactShatterWindows</t>
      </text>
    </comment>
    <comment ref="A54" authorId="0" shapeId="0">
      <text>
        <t>XenoArtifactShuffle</t>
      </text>
    </comment>
    <comment ref="A55" authorId="0" shapeId="0">
      <text>
        <t>XenoArtifactSolutionStorage</t>
      </text>
    </comment>
    <comment ref="A56" authorId="0" shapeId="0">
      <text>
        <t>XenoArtifactAngryCarpSpawn</t>
      </text>
    </comment>
    <comment ref="A57" authorId="0" shapeId="0">
      <text>
        <t>XenoArtifactMaterialSpawnGlassFew</t>
      </text>
    </comment>
    <comment ref="A58" authorId="0" shapeId="0">
      <text>
        <t>XenoArtifactMaterialSpawnGlassMany</t>
      </text>
    </comment>
    <comment ref="A59" authorId="0" shapeId="0">
      <text>
        <t>XenoArtifactMaterialSpawnGlassStack</t>
      </text>
    </comment>
    <comment ref="A60" authorId="0" shapeId="0">
      <text>
        <t>XenoArtifactMaterialSpawnSteelFew</t>
      </text>
    </comment>
    <comment ref="A61" authorId="0" shapeId="0">
      <text>
        <t>XenoArtifactMaterialSpawnSteelMany</t>
      </text>
    </comment>
    <comment ref="A62" authorId="0" shapeId="0">
      <text>
        <t>XenoArtifactMaterialSpawnSteelStack</t>
      </text>
    </comment>
    <comment ref="A63" authorId="0" shapeId="0">
      <text>
        <t>XenoArtifactMaterialSpawnPlasticFew</t>
      </text>
    </comment>
    <comment ref="A64" authorId="0" shapeId="0">
      <text>
        <t>XenoArtifactMaterialSpawnPlasticMany</t>
      </text>
    </comment>
    <comment ref="A65" authorId="0" shapeId="0">
      <text>
        <t>XenoArtifactMaterialSpawnPlasticStack</t>
      </text>
    </comment>
    <comment ref="A66" authorId="0" shapeId="0">
      <text>
        <t>XenoArtifactRawMaterialSpawnBananiumFew</t>
      </text>
    </comment>
    <comment ref="A67" authorId="0" shapeId="0">
      <text>
        <t>XenoArtifactRawMaterialSpawnBananiumMore</t>
      </text>
    </comment>
    <comment ref="A68" authorId="0" shapeId="0">
      <text>
        <t>XenoArtifactRawMaterialSpawnBananiumMany</t>
      </text>
    </comment>
    <comment ref="A69" authorId="0" shapeId="0">
      <text>
        <t>XenoArtifactRawMaterialSpawnGoldFew</t>
      </text>
    </comment>
    <comment ref="A70" authorId="0" shapeId="0">
      <text>
        <t>XenoArtifactRawMaterialSpawnGoldMore</t>
      </text>
    </comment>
    <comment ref="A71" authorId="0" shapeId="0">
      <text>
        <t>XenoArtifactRawMaterialSpawnGoldMany</t>
      </text>
    </comment>
    <comment ref="A72" authorId="0" shapeId="0">
      <text>
        <t>XenoArtifactRawMaterialSpawnPlasmaFew</t>
      </text>
    </comment>
    <comment ref="A73" authorId="0" shapeId="0">
      <text>
        <t>XenoArtifactRawMaterialSpawnPlasmaMore</t>
      </text>
    </comment>
    <comment ref="A74" authorId="0" shapeId="0">
      <text>
        <t>XenoArtifactRawMaterialSpawnPlasmaMany</t>
      </text>
    </comment>
    <comment ref="A75" authorId="0" shapeId="0">
      <text>
        <t>XenoArtifactRawMaterialSpawnSilverFew</t>
      </text>
    </comment>
    <comment ref="A76" authorId="0" shapeId="0">
      <text>
        <t>XenoArtifactRawMaterialSpawnSilverMore</t>
      </text>
    </comment>
    <comment ref="A77" authorId="0" shapeId="0">
      <text>
        <t>XenoArtifactRawMaterialSpawnSilverMany</t>
      </text>
    </comment>
    <comment ref="A78" authorId="0" shapeId="0">
      <text>
        <t>XenoArtifactRawMaterialSpawnUraniumFew</t>
      </text>
    </comment>
    <comment ref="A79" authorId="0" shapeId="0">
      <text>
        <t>XenoArtifactRawMaterialSpawnUraniumMore</t>
      </text>
    </comment>
    <comment ref="A80" authorId="0" shapeId="0">
      <text>
        <t>XenoArtifactRawMaterialSpawnUraniumMany</t>
      </text>
    </comment>
    <comment ref="A81" authorId="0" shapeId="0">
      <text>
        <t>XenoArtifactStealth</t>
      </text>
    </comment>
    <comment ref="A82" authorId="0" shapeId="0">
      <text>
        <t>XenoArtifactTeleport</t>
      </text>
    </comment>
    <comment ref="A83" authorId="0" shapeId="0">
      <text>
        <t>XenoArtifactThrowThingsAround</t>
      </text>
    </comment>
    <comment ref="A84" authorId="0" shapeId="0">
      <text>
        <t>XenoArtifactWandering</t>
      </text>
    </comment>
    <comment ref="A85" authorId="0" shapeId="0">
      <text>
        <t>XenoArtifactSpeedUp</t>
      </text>
    </comment>
    <comment ref="A86" authorId="0" shapeId="0">
      <text>
        <t>XenoArtifactToolCrowbar</t>
      </text>
    </comment>
    <comment ref="A87" authorId="0" shapeId="0">
      <text>
        <t>XenoArtifactToolScrewdriver</t>
      </text>
    </comment>
    <comment ref="A88" authorId="0" shapeId="0">
      <text>
        <t>XenoArtifactToolWrench</t>
      </text>
    </comment>
    <comment ref="A89" authorId="0" shapeId="0">
      <text>
        <t>XenoArtifactToolWirecutter</t>
      </text>
    </comment>
    <comment ref="A90" authorId="0" shapeId="0">
      <text>
        <t>XenoArtifactToolJaws</t>
      </text>
    </comment>
    <comment ref="A91" authorId="0" shapeId="0">
      <text>
        <t>XenoArtifactToolPowerDrill</t>
      </text>
    </comment>
    <comment ref="A92" authorId="0" shapeId="0">
      <text>
        <t>XenoArtifactToolKnife</t>
      </text>
    </comment>
    <comment ref="A93" authorId="0" shapeId="0">
      <text>
        <t>XenoArtifactOmnitool</t>
      </text>
    </comment>
    <comment ref="A94" authorId="0" shapeId="0">
      <text>
        <t>XenoArtifactToolDrill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Artifact Effect Weight Tuner</t>
        </is>
      </c>
    </row>
    <row r="2">
      <c r="B2" s="2" t="inlineStr">
        <is>
          <t>Source: Resources/Prototypes/XenoArch/effect_tables.yml  •  logic: XenoArtifactSystem.ProcGen.cs / CreateNode</t>
        </is>
      </c>
    </row>
    <row r="4">
      <c r="B4" s="3" t="inlineStr">
        <is>
          <t>HOW EFFECT SELECTION WORKS</t>
        </is>
      </c>
    </row>
    <row r="5">
      <c r="B5" s="4" t="inlineStr">
        <is>
          <t>When a node is created its depth decides which table it rolls from:</t>
        </is>
      </c>
    </row>
    <row r="6">
      <c r="B6" s="4" t="inlineStr">
        <is>
          <t xml:space="preserve">   • Depth 0  -&gt; ROOT table        (RootNodeThreshold = 0)</t>
        </is>
      </c>
    </row>
    <row r="7">
      <c r="B7" s="4" t="inlineStr">
        <is>
          <t xml:space="preserve">   • Depth 1-2 -&gt; MAIN table</t>
        </is>
      </c>
    </row>
    <row r="8">
      <c r="B8" s="4" t="inlineStr">
        <is>
          <t xml:space="preserve">   • Depth 3+ -&gt; DEEP table        (DeepNodeThreshold = 3)</t>
        </is>
      </c>
    </row>
    <row r="9">
      <c r="B9" s="4" t="inlineStr">
        <is>
          <t>Each effect has a SEPARATE weight in each of the three tables (its 'multiple weights per depth').</t>
        </is>
      </c>
    </row>
    <row r="10">
      <c r="B10" s="4" t="inlineStr"/>
    </row>
    <row r="11">
      <c r="B11" s="3" t="inlineStr">
        <is>
          <t>CHANCES ARE RELATIVE</t>
        </is>
      </c>
    </row>
    <row r="12">
      <c r="B12" s="4" t="inlineStr">
        <is>
          <t>An effect's chance = its weight / total weight of that table. So 2 effects of weight 1 are 50% each,</t>
        </is>
      </c>
    </row>
    <row r="13">
      <c r="B13" s="4" t="inlineStr">
        <is>
          <t>but 10 effects of weight 1 are 10% each. '1 in X' = table total / weight (how many node-rolls between picks).</t>
        </is>
      </c>
    </row>
    <row r="14">
      <c r="B14" s="4" t="inlineStr">
        <is>
          <t>A weight of 0 means the effect is disabled at that depth ('here for parity' in the yaml) -&gt; shown as n/a.</t>
        </is>
      </c>
    </row>
    <row r="15">
      <c r="B15" s="4" t="inlineStr"/>
    </row>
    <row r="16">
      <c r="B16" s="3" t="inlineStr">
        <is>
          <t>BIG vs HAND-SIZED</t>
        </is>
      </c>
    </row>
    <row r="17">
      <c r="B17" s="4" t="inlineStr">
        <is>
          <t>Big (structure) artifacts roll ONLY the core table. Hand-sized artifacts pool in an extra TOOL sub-table,</t>
        </is>
      </c>
    </row>
    <row r="18">
      <c r="B18" s="4" t="inlineStr">
        <is>
          <t>so every core effect is slightly rarer on hand-sized, and tools appear only on hand-sized. Both columns are shown.</t>
        </is>
      </c>
    </row>
    <row r="19">
      <c r="B19" s="4" t="inlineStr"/>
    </row>
    <row r="20">
      <c r="B20" s="3" t="inlineStr">
        <is>
          <t>HOW TO USE THIS SHEET</t>
        </is>
      </c>
    </row>
    <row r="21">
      <c r="B21" s="4" t="inlineStr">
        <is>
          <t>• Yellow WEIGHT cells are the only ones you edit. Everything else recalculates automatically.</t>
        </is>
      </c>
    </row>
    <row r="22">
      <c r="B22" s="4" t="inlineStr">
        <is>
          <t>• To dial a specific rarity: type the target into 'Target 1 in X' and read the 'Suggested weight' next to it,</t>
        </is>
      </c>
    </row>
    <row r="23">
      <c r="B23" s="4" t="inlineStr">
        <is>
          <t xml:space="preserve">   then type that number into the Weight cell. (It solves weight = others / (X-1), holding other weights fixed.)</t>
        </is>
      </c>
    </row>
    <row r="24">
      <c r="B24" s="4" t="inlineStr"/>
    </row>
    <row r="25">
      <c r="B25" s="5" t="inlineStr">
        <is>
          <t>IMPORTANT WHEN YOU PORT NUMBERS BACK TO THE YAML</t>
        </is>
      </c>
    </row>
    <row r="26">
      <c r="B26" s="4" t="inlineStr">
        <is>
          <t>The hand-sized pool uses a GroupSelector that nests the core table (weight = core total) and the tool table</t>
        </is>
      </c>
    </row>
    <row r="27">
      <c r="B27" s="4" t="inlineStr">
        <is>
          <t>(weight = tool total). Those nesting weights are hard-coded in the yaml (e.g. 403 / 54). If you change any</t>
        </is>
      </c>
    </row>
    <row r="28">
      <c r="B28" s="4" t="inlineStr">
        <is>
          <t>weights, update those nesting numbers to the NEW totals shown at the top of each sheet, or the hand-sized</t>
        </is>
      </c>
    </row>
    <row r="29">
      <c r="B29" s="4" t="inlineStr">
        <is>
          <t>odds will drift from what this sheet reports.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3" customWidth="1" min="7" max="7"/>
    <col width="13" customWidth="1" min="8" max="8"/>
    <col width="15" customWidth="1" min="9" max="9"/>
  </cols>
  <sheetData>
    <row r="1" ht="24" customHeight="1">
      <c r="A1" s="6" t="inlineStr">
        <is>
          <t>Root  —  Depth 0  (root nodes)</t>
        </is>
      </c>
    </row>
    <row r="2">
      <c r="A2" s="7" t="inlineStr">
        <is>
          <t>Big/structure pool total (core):</t>
        </is>
      </c>
      <c r="B2" s="8">
        <f>SUM(B6:B84)</f>
        <v/>
      </c>
      <c r="D2" s="9" t="inlineStr">
        <is>
          <t>&lt;- set the core table's nesting weight in effect_tables.yml to this</t>
        </is>
      </c>
    </row>
    <row r="3">
      <c r="A3" s="7" t="inlineStr">
        <is>
          <t>Hand-sized pool total (core+tools):</t>
        </is>
      </c>
      <c r="B3" s="8">
        <f>SUM(B6:B94)</f>
        <v/>
      </c>
    </row>
    <row r="5">
      <c r="A5" s="10" t="inlineStr">
        <is>
          <t>Effect</t>
        </is>
      </c>
      <c r="B5" s="10" t="inlineStr">
        <is>
          <t>Weight</t>
        </is>
      </c>
      <c r="C5" s="10" t="inlineStr">
        <is>
          <t>% big</t>
        </is>
      </c>
      <c r="D5" s="10" t="inlineStr">
        <is>
          <t>1 in X (big)</t>
        </is>
      </c>
      <c r="E5" s="10" t="inlineStr">
        <is>
          <t>% hand</t>
        </is>
      </c>
      <c r="F5" s="10" t="inlineStr">
        <is>
          <t>1 in X (hand)</t>
        </is>
      </c>
      <c r="G5" t="inlineStr"/>
      <c r="H5" s="10" t="inlineStr">
        <is>
          <t>Target 1 in X</t>
        </is>
      </c>
      <c r="I5" s="10" t="inlineStr">
        <is>
          <t>Suggested weight</t>
        </is>
      </c>
    </row>
    <row r="6">
      <c r="A6" s="11" t="inlineStr">
        <is>
          <t>Anomaly Spawn</t>
        </is>
      </c>
      <c r="B6" s="12" t="n">
        <v>1</v>
      </c>
      <c r="C6" s="13">
        <f>IF($B$2=0,0,B6/$B$2)</f>
        <v/>
      </c>
      <c r="D6" s="14">
        <f>IF(B6=0,"n/a",$B$2/B6)</f>
        <v/>
      </c>
      <c r="E6" s="13">
        <f>IF($B$3=0,0,B6/$B$3)</f>
        <v/>
      </c>
      <c r="F6" s="14">
        <f>IF(B6=0,"n/a",$B$3/B6)</f>
        <v/>
      </c>
      <c r="G6" s="15" t="n"/>
      <c r="H6" s="16" t="n"/>
      <c r="I6" s="17">
        <f>IF(H6="","",IF(H6&lt;=1,"n/a",($B$2-B6)/(H6-1)))</f>
        <v/>
      </c>
    </row>
    <row r="7">
      <c r="A7" s="11" t="inlineStr">
        <is>
          <t>Artifact Spawn</t>
        </is>
      </c>
      <c r="B7" s="12" t="n">
        <v>0</v>
      </c>
      <c r="C7" s="13">
        <f>IF($B$2=0,0,B7/$B$2)</f>
        <v/>
      </c>
      <c r="D7" s="14">
        <f>IF(B7=0,"n/a",$B$2/B7)</f>
        <v/>
      </c>
      <c r="E7" s="13">
        <f>IF($B$3=0,0,B7/$B$3)</f>
        <v/>
      </c>
      <c r="F7" s="14">
        <f>IF(B7=0,"n/a",$B$3/B7)</f>
        <v/>
      </c>
      <c r="G7" s="15" t="n"/>
      <c r="H7" s="16" t="n"/>
      <c r="I7" s="17">
        <f>IF(H7="","",IF(H7&lt;=1,"n/a",($B$2-B7)/(H7-1)))</f>
        <v/>
      </c>
    </row>
    <row r="8">
      <c r="A8" s="11" t="inlineStr">
        <is>
          <t>Bad Feeling</t>
        </is>
      </c>
      <c r="B8" s="12" t="n">
        <v>10</v>
      </c>
      <c r="C8" s="13">
        <f>IF($B$2=0,0,B8/$B$2)</f>
        <v/>
      </c>
      <c r="D8" s="14">
        <f>IF(B8=0,"n/a",$B$2/B8)</f>
        <v/>
      </c>
      <c r="E8" s="13">
        <f>IF($B$3=0,0,B8/$B$3)</f>
        <v/>
      </c>
      <c r="F8" s="14">
        <f>IF(B8=0,"n/a",$B$3/B8)</f>
        <v/>
      </c>
      <c r="G8" s="15" t="n"/>
      <c r="H8" s="16" t="n"/>
      <c r="I8" s="17">
        <f>IF(H8="","",IF(H8&lt;=1,"n/a",($B$2-B8)/(H8-1)))</f>
        <v/>
      </c>
    </row>
    <row r="9">
      <c r="A9" s="11" t="inlineStr">
        <is>
          <t>Boom</t>
        </is>
      </c>
      <c r="B9" s="12" t="n">
        <v>0</v>
      </c>
      <c r="C9" s="13">
        <f>IF($B$2=0,0,B9/$B$2)</f>
        <v/>
      </c>
      <c r="D9" s="14">
        <f>IF(B9=0,"n/a",$B$2/B9)</f>
        <v/>
      </c>
      <c r="E9" s="13">
        <f>IF($B$3=0,0,B9/$B$3)</f>
        <v/>
      </c>
      <c r="F9" s="14">
        <f>IF(B9=0,"n/a",$B$3/B9)</f>
        <v/>
      </c>
      <c r="G9" s="15" t="n"/>
      <c r="H9" s="16" t="n"/>
      <c r="I9" s="17">
        <f>IF(H9="","",IF(H9&lt;=1,"n/a",($B$2-B9)/(H9-1)))</f>
        <v/>
      </c>
    </row>
    <row r="10">
      <c r="A10" s="11" t="inlineStr">
        <is>
          <t>Cash Spawn</t>
        </is>
      </c>
      <c r="B10" s="12" t="n">
        <v>0</v>
      </c>
      <c r="C10" s="13">
        <f>IF($B$2=0,0,B10/$B$2)</f>
        <v/>
      </c>
      <c r="D10" s="14">
        <f>IF(B10=0,"n/a",$B$2/B10)</f>
        <v/>
      </c>
      <c r="E10" s="13">
        <f>IF($B$3=0,0,B10/$B$3)</f>
        <v/>
      </c>
      <c r="F10" s="14">
        <f>IF(B10=0,"n/a",$B$3/B10)</f>
        <v/>
      </c>
      <c r="G10" s="15" t="n"/>
      <c r="H10" s="16" t="n"/>
      <c r="I10" s="17">
        <f>IF(H10="","",IF(H10&lt;=1,"n/a",($B$2-B10)/(H10-1)))</f>
        <v/>
      </c>
    </row>
    <row r="11">
      <c r="A11" s="11" t="inlineStr">
        <is>
          <t>Old Cash Spawn</t>
        </is>
      </c>
      <c r="B11" s="12" t="n">
        <v>8</v>
      </c>
      <c r="C11" s="13">
        <f>IF($B$2=0,0,B11/$B$2)</f>
        <v/>
      </c>
      <c r="D11" s="14">
        <f>IF(B11=0,"n/a",$B$2/B11)</f>
        <v/>
      </c>
      <c r="E11" s="13">
        <f>IF($B$3=0,0,B11/$B$3)</f>
        <v/>
      </c>
      <c r="F11" s="14">
        <f>IF(B11=0,"n/a",$B$3/B11)</f>
        <v/>
      </c>
      <c r="G11" s="15" t="n"/>
      <c r="H11" s="16" t="n"/>
      <c r="I11" s="17">
        <f>IF(H11="","",IF(H11&lt;=1,"n/a",($B$2-B11)/(H11-1)))</f>
        <v/>
      </c>
    </row>
    <row r="12">
      <c r="A12" s="11" t="inlineStr">
        <is>
          <t>Charge Battery Low</t>
        </is>
      </c>
      <c r="B12" s="12" t="n">
        <v>8</v>
      </c>
      <c r="C12" s="13">
        <f>IF($B$2=0,0,B12/$B$2)</f>
        <v/>
      </c>
      <c r="D12" s="14">
        <f>IF(B12=0,"n/a",$B$2/B12)</f>
        <v/>
      </c>
      <c r="E12" s="13">
        <f>IF($B$3=0,0,B12/$B$3)</f>
        <v/>
      </c>
      <c r="F12" s="14">
        <f>IF(B12=0,"n/a",$B$3/B12)</f>
        <v/>
      </c>
      <c r="G12" s="15" t="n"/>
      <c r="H12" s="16" t="n"/>
      <c r="I12" s="17">
        <f>IF(H12="","",IF(H12&lt;=1,"n/a",($B$2-B12)/(H12-1)))</f>
        <v/>
      </c>
    </row>
    <row r="13">
      <c r="A13" s="11" t="inlineStr">
        <is>
          <t>Charge Battery</t>
        </is>
      </c>
      <c r="B13" s="12" t="n">
        <v>1</v>
      </c>
      <c r="C13" s="13">
        <f>IF($B$2=0,0,B13/$B$2)</f>
        <v/>
      </c>
      <c r="D13" s="14">
        <f>IF(B13=0,"n/a",$B$2/B13)</f>
        <v/>
      </c>
      <c r="E13" s="13">
        <f>IF($B$3=0,0,B13/$B$3)</f>
        <v/>
      </c>
      <c r="F13" s="14">
        <f>IF(B13=0,"n/a",$B$3/B13)</f>
        <v/>
      </c>
      <c r="G13" s="15" t="n"/>
      <c r="H13" s="16" t="n"/>
      <c r="I13" s="17">
        <f>IF(H13="","",IF(H13&lt;=1,"n/a",($B$2-B13)/(H13-1)))</f>
        <v/>
      </c>
    </row>
    <row r="14">
      <c r="A14" s="11" t="inlineStr">
        <is>
          <t>Chemical Puddle</t>
        </is>
      </c>
      <c r="B14" s="12" t="n">
        <v>10</v>
      </c>
      <c r="C14" s="13">
        <f>IF($B$2=0,0,B14/$B$2)</f>
        <v/>
      </c>
      <c r="D14" s="14">
        <f>IF(B14=0,"n/a",$B$2/B14)</f>
        <v/>
      </c>
      <c r="E14" s="13">
        <f>IF($B$3=0,0,B14/$B$3)</f>
        <v/>
      </c>
      <c r="F14" s="14">
        <f>IF(B14=0,"n/a",$B$3/B14)</f>
        <v/>
      </c>
      <c r="G14" s="15" t="n"/>
      <c r="H14" s="16" t="n"/>
      <c r="I14" s="17">
        <f>IF(H14="","",IF(H14&lt;=1,"n/a",($B$2-B14)/(H14-1)))</f>
        <v/>
      </c>
    </row>
    <row r="15">
      <c r="A15" s="11" t="inlineStr">
        <is>
          <t>Cold Wave</t>
        </is>
      </c>
      <c r="B15" s="12" t="n">
        <v>10</v>
      </c>
      <c r="C15" s="13">
        <f>IF($B$2=0,0,B15/$B$2)</f>
        <v/>
      </c>
      <c r="D15" s="14">
        <f>IF(B15=0,"n/a",$B$2/B15)</f>
        <v/>
      </c>
      <c r="E15" s="13">
        <f>IF($B$3=0,0,B15/$B$3)</f>
        <v/>
      </c>
      <c r="F15" s="14">
        <f>IF(B15=0,"n/a",$B$3/B15)</f>
        <v/>
      </c>
      <c r="G15" s="15" t="n"/>
      <c r="H15" s="16" t="n"/>
      <c r="I15" s="17">
        <f>IF(H15="","",IF(H15&lt;=1,"n/a",($B$2-B15)/(H15-1)))</f>
        <v/>
      </c>
    </row>
    <row r="16">
      <c r="A16" s="11" t="inlineStr">
        <is>
          <t>Creation Gas Ammonia</t>
        </is>
      </c>
      <c r="B16" s="12" t="n">
        <v>8</v>
      </c>
      <c r="C16" s="13">
        <f>IF($B$2=0,0,B16/$B$2)</f>
        <v/>
      </c>
      <c r="D16" s="14">
        <f>IF(B16=0,"n/a",$B$2/B16)</f>
        <v/>
      </c>
      <c r="E16" s="13">
        <f>IF($B$3=0,0,B16/$B$3)</f>
        <v/>
      </c>
      <c r="F16" s="14">
        <f>IF(B16=0,"n/a",$B$3/B16)</f>
        <v/>
      </c>
      <c r="G16" s="15" t="n"/>
      <c r="H16" s="16" t="n"/>
      <c r="I16" s="17">
        <f>IF(H16="","",IF(H16&lt;=1,"n/a",($B$2-B16)/(H16-1)))</f>
        <v/>
      </c>
    </row>
    <row r="17">
      <c r="A17" s="11" t="inlineStr">
        <is>
          <t>Creation Gas Carbon Dioxide</t>
        </is>
      </c>
      <c r="B17" s="12" t="n">
        <v>10</v>
      </c>
      <c r="C17" s="13">
        <f>IF($B$2=0,0,B17/$B$2)</f>
        <v/>
      </c>
      <c r="D17" s="14">
        <f>IF(B17=0,"n/a",$B$2/B17)</f>
        <v/>
      </c>
      <c r="E17" s="13">
        <f>IF($B$3=0,0,B17/$B$3)</f>
        <v/>
      </c>
      <c r="F17" s="14">
        <f>IF(B17=0,"n/a",$B$3/B17)</f>
        <v/>
      </c>
      <c r="G17" s="15" t="n"/>
      <c r="H17" s="16" t="n"/>
      <c r="I17" s="17">
        <f>IF(H17="","",IF(H17&lt;=1,"n/a",($B$2-B17)/(H17-1)))</f>
        <v/>
      </c>
    </row>
    <row r="18">
      <c r="A18" s="11" t="inlineStr">
        <is>
          <t>Creation Gas Frezon</t>
        </is>
      </c>
      <c r="B18" s="12" t="n">
        <v>3</v>
      </c>
      <c r="C18" s="13">
        <f>IF($B$2=0,0,B18/$B$2)</f>
        <v/>
      </c>
      <c r="D18" s="14">
        <f>IF(B18=0,"n/a",$B$2/B18)</f>
        <v/>
      </c>
      <c r="E18" s="13">
        <f>IF($B$3=0,0,B18/$B$3)</f>
        <v/>
      </c>
      <c r="F18" s="14">
        <f>IF(B18=0,"n/a",$B$3/B18)</f>
        <v/>
      </c>
      <c r="G18" s="15" t="n"/>
      <c r="H18" s="16" t="n"/>
      <c r="I18" s="17">
        <f>IF(H18="","",IF(H18&lt;=1,"n/a",($B$2-B18)/(H18-1)))</f>
        <v/>
      </c>
    </row>
    <row r="19">
      <c r="A19" s="11" t="inlineStr">
        <is>
          <t>Creation Gas Nitrous Oxide</t>
        </is>
      </c>
      <c r="B19" s="12" t="n">
        <v>10</v>
      </c>
      <c r="C19" s="13">
        <f>IF($B$2=0,0,B19/$B$2)</f>
        <v/>
      </c>
      <c r="D19" s="14">
        <f>IF(B19=0,"n/a",$B$2/B19)</f>
        <v/>
      </c>
      <c r="E19" s="13">
        <f>IF($B$3=0,0,B19/$B$3)</f>
        <v/>
      </c>
      <c r="F19" s="14">
        <f>IF(B19=0,"n/a",$B$3/B19)</f>
        <v/>
      </c>
      <c r="G19" s="15" t="n"/>
      <c r="H19" s="16" t="n"/>
      <c r="I19" s="17">
        <f>IF(H19="","",IF(H19&lt;=1,"n/a",($B$2-B19)/(H19-1)))</f>
        <v/>
      </c>
    </row>
    <row r="20">
      <c r="A20" s="11" t="inlineStr">
        <is>
          <t>Creation Gas Plasma</t>
        </is>
      </c>
      <c r="B20" s="12" t="n">
        <v>8</v>
      </c>
      <c r="C20" s="13">
        <f>IF($B$2=0,0,B20/$B$2)</f>
        <v/>
      </c>
      <c r="D20" s="14">
        <f>IF(B20=0,"n/a",$B$2/B20)</f>
        <v/>
      </c>
      <c r="E20" s="13">
        <f>IF($B$3=0,0,B20/$B$3)</f>
        <v/>
      </c>
      <c r="F20" s="14">
        <f>IF(B20=0,"n/a",$B$3/B20)</f>
        <v/>
      </c>
      <c r="G20" s="15" t="n"/>
      <c r="H20" s="16" t="n"/>
      <c r="I20" s="17">
        <f>IF(H20="","",IF(H20&lt;=1,"n/a",($B$2-B20)/(H20-1)))</f>
        <v/>
      </c>
    </row>
    <row r="21">
      <c r="A21" s="11" t="inlineStr">
        <is>
          <t>Creation Gas Tritium</t>
        </is>
      </c>
      <c r="B21" s="12" t="n">
        <v>3</v>
      </c>
      <c r="C21" s="13">
        <f>IF($B$2=0,0,B21/$B$2)</f>
        <v/>
      </c>
      <c r="D21" s="14">
        <f>IF(B21=0,"n/a",$B$2/B21)</f>
        <v/>
      </c>
      <c r="E21" s="13">
        <f>IF($B$3=0,0,B21/$B$3)</f>
        <v/>
      </c>
      <c r="F21" s="14">
        <f>IF(B21=0,"n/a",$B$3/B21)</f>
        <v/>
      </c>
      <c r="G21" s="15" t="n"/>
      <c r="H21" s="16" t="n"/>
      <c r="I21" s="17">
        <f>IF(H21="","",IF(H21&lt;=1,"n/a",($B$2-B21)/(H21-1)))</f>
        <v/>
      </c>
    </row>
    <row r="22">
      <c r="A22" s="11" t="inlineStr">
        <is>
          <t>Emp</t>
        </is>
      </c>
      <c r="B22" s="12" t="n">
        <v>1</v>
      </c>
      <c r="C22" s="13">
        <f>IF($B$2=0,0,B22/$B$2)</f>
        <v/>
      </c>
      <c r="D22" s="14">
        <f>IF(B22=0,"n/a",$B$2/B22)</f>
        <v/>
      </c>
      <c r="E22" s="13">
        <f>IF($B$3=0,0,B22/$B$3)</f>
        <v/>
      </c>
      <c r="F22" s="14">
        <f>IF(B22=0,"n/a",$B$3/B22)</f>
        <v/>
      </c>
      <c r="G22" s="15" t="n"/>
      <c r="H22" s="16" t="n"/>
      <c r="I22" s="17">
        <f>IF(H22="","",IF(H22&lt;=1,"n/a",($B$2-B22)/(H22-1)))</f>
        <v/>
      </c>
    </row>
    <row r="23">
      <c r="A23" s="11" t="inlineStr">
        <is>
          <t>Explosion Scary</t>
        </is>
      </c>
      <c r="B23" s="12" t="n">
        <v>0</v>
      </c>
      <c r="C23" s="13">
        <f>IF($B$2=0,0,B23/$B$2)</f>
        <v/>
      </c>
      <c r="D23" s="14">
        <f>IF(B23=0,"n/a",$B$2/B23)</f>
        <v/>
      </c>
      <c r="E23" s="13">
        <f>IF($B$3=0,0,B23/$B$3)</f>
        <v/>
      </c>
      <c r="F23" s="14">
        <f>IF(B23=0,"n/a",$B$3/B23)</f>
        <v/>
      </c>
      <c r="G23" s="15" t="n"/>
      <c r="H23" s="16" t="n"/>
      <c r="I23" s="17">
        <f>IF(H23="","",IF(H23&lt;=1,"n/a",($B$2-B23)/(H23-1)))</f>
        <v/>
      </c>
    </row>
    <row r="24">
      <c r="A24" s="11" t="inlineStr">
        <is>
          <t>Fauna Spawn</t>
        </is>
      </c>
      <c r="B24" s="12" t="n">
        <v>10</v>
      </c>
      <c r="C24" s="13">
        <f>IF($B$2=0,0,B24/$B$2)</f>
        <v/>
      </c>
      <c r="D24" s="14">
        <f>IF(B24=0,"n/a",$B$2/B24)</f>
        <v/>
      </c>
      <c r="E24" s="13">
        <f>IF($B$3=0,0,B24/$B$3)</f>
        <v/>
      </c>
      <c r="F24" s="14">
        <f>IF(B24=0,"n/a",$B$3/B24)</f>
        <v/>
      </c>
      <c r="G24" s="15" t="n"/>
      <c r="H24" s="16" t="n"/>
      <c r="I24" s="17">
        <f>IF(H24="","",IF(H24&lt;=1,"n/a",($B$2-B24)/(H24-1)))</f>
        <v/>
      </c>
    </row>
    <row r="25">
      <c r="A25" s="11" t="inlineStr">
        <is>
          <t>Flora Spawn</t>
        </is>
      </c>
      <c r="B25" s="12" t="n">
        <v>10</v>
      </c>
      <c r="C25" s="13">
        <f>IF($B$2=0,0,B25/$B$2)</f>
        <v/>
      </c>
      <c r="D25" s="14">
        <f>IF(B25=0,"n/a",$B$2/B25)</f>
        <v/>
      </c>
      <c r="E25" s="13">
        <f>IF($B$3=0,0,B25/$B$3)</f>
        <v/>
      </c>
      <c r="F25" s="14">
        <f>IF(B25=0,"n/a",$B$3/B25)</f>
        <v/>
      </c>
      <c r="G25" s="15" t="n"/>
      <c r="H25" s="16" t="n"/>
      <c r="I25" s="17">
        <f>IF(H25="","",IF(H25&lt;=1,"n/a",($B$2-B25)/(H25-1)))</f>
        <v/>
      </c>
    </row>
    <row r="26">
      <c r="A26" s="11" t="inlineStr">
        <is>
          <t>Foam Dangerous</t>
        </is>
      </c>
      <c r="B26" s="12" t="n">
        <v>8</v>
      </c>
      <c r="C26" s="13">
        <f>IF($B$2=0,0,B26/$B$2)</f>
        <v/>
      </c>
      <c r="D26" s="14">
        <f>IF(B26=0,"n/a",$B$2/B26)</f>
        <v/>
      </c>
      <c r="E26" s="13">
        <f>IF($B$3=0,0,B26/$B$3)</f>
        <v/>
      </c>
      <c r="F26" s="14">
        <f>IF(B26=0,"n/a",$B$3/B26)</f>
        <v/>
      </c>
      <c r="G26" s="15" t="n"/>
      <c r="H26" s="16" t="n"/>
      <c r="I26" s="17">
        <f>IF(H26="","",IF(H26&lt;=1,"n/a",($B$2-B26)/(H26-1)))</f>
        <v/>
      </c>
    </row>
    <row r="27">
      <c r="A27" s="11" t="inlineStr">
        <is>
          <t>Foam Good</t>
        </is>
      </c>
      <c r="B27" s="12" t="n">
        <v>8</v>
      </c>
      <c r="C27" s="13">
        <f>IF($B$2=0,0,B27/$B$2)</f>
        <v/>
      </c>
      <c r="D27" s="14">
        <f>IF(B27=0,"n/a",$B$2/B27)</f>
        <v/>
      </c>
      <c r="E27" s="13">
        <f>IF($B$3=0,0,B27/$B$3)</f>
        <v/>
      </c>
      <c r="F27" s="14">
        <f>IF(B27=0,"n/a",$B$3/B27)</f>
        <v/>
      </c>
      <c r="G27" s="15" t="n"/>
      <c r="H27" s="16" t="n"/>
      <c r="I27" s="17">
        <f>IF(H27="","",IF(H27&lt;=1,"n/a",($B$2-B27)/(H27-1)))</f>
        <v/>
      </c>
    </row>
    <row r="28">
      <c r="A28" s="11" t="inlineStr">
        <is>
          <t>Foam Mild</t>
        </is>
      </c>
      <c r="B28" s="12" t="n">
        <v>10</v>
      </c>
      <c r="C28" s="13">
        <f>IF($B$2=0,0,B28/$B$2)</f>
        <v/>
      </c>
      <c r="D28" s="14">
        <f>IF(B28=0,"n/a",$B$2/B28)</f>
        <v/>
      </c>
      <c r="E28" s="13">
        <f>IF($B$3=0,0,B28/$B$3)</f>
        <v/>
      </c>
      <c r="F28" s="14">
        <f>IF(B28=0,"n/a",$B$3/B28)</f>
        <v/>
      </c>
      <c r="G28" s="15" t="n"/>
      <c r="H28" s="16" t="n"/>
      <c r="I28" s="17">
        <f>IF(H28="","",IF(H28&lt;=1,"n/a",($B$2-B28)/(H28-1)))</f>
        <v/>
      </c>
    </row>
    <row r="29">
      <c r="A29" s="11" t="inlineStr">
        <is>
          <t>Good Feeling</t>
        </is>
      </c>
      <c r="B29" s="12" t="n">
        <v>10</v>
      </c>
      <c r="C29" s="13">
        <f>IF($B$2=0,0,B29/$B$2)</f>
        <v/>
      </c>
      <c r="D29" s="14">
        <f>IF(B29=0,"n/a",$B$2/B29)</f>
        <v/>
      </c>
      <c r="E29" s="13">
        <f>IF($B$3=0,0,B29/$B$3)</f>
        <v/>
      </c>
      <c r="F29" s="14">
        <f>IF(B29=0,"n/a",$B$3/B29)</f>
        <v/>
      </c>
      <c r="G29" s="15" t="n"/>
      <c r="H29" s="16" t="n"/>
      <c r="I29" s="17">
        <f>IF(H29="","",IF(H29&lt;=1,"n/a",($B$2-B29)/(H29-1)))</f>
        <v/>
      </c>
    </row>
    <row r="30">
      <c r="A30" s="11" t="inlineStr">
        <is>
          <t>Heal Brute</t>
        </is>
      </c>
      <c r="B30" s="12" t="n">
        <v>3</v>
      </c>
      <c r="C30" s="13">
        <f>IF($B$2=0,0,B30/$B$2)</f>
        <v/>
      </c>
      <c r="D30" s="14">
        <f>IF(B30=0,"n/a",$B$2/B30)</f>
        <v/>
      </c>
      <c r="E30" s="13">
        <f>IF($B$3=0,0,B30/$B$3)</f>
        <v/>
      </c>
      <c r="F30" s="14">
        <f>IF(B30=0,"n/a",$B$3/B30)</f>
        <v/>
      </c>
      <c r="G30" s="15" t="n"/>
      <c r="H30" s="16" t="n"/>
      <c r="I30" s="17">
        <f>IF(H30="","",IF(H30&lt;=1,"n/a",($B$2-B30)/(H30-1)))</f>
        <v/>
      </c>
    </row>
    <row r="31">
      <c r="A31" s="11" t="inlineStr">
        <is>
          <t>Heal Burn</t>
        </is>
      </c>
      <c r="B31" s="12" t="n">
        <v>3</v>
      </c>
      <c r="C31" s="13">
        <f>IF($B$2=0,0,B31/$B$2)</f>
        <v/>
      </c>
      <c r="D31" s="14">
        <f>IF(B31=0,"n/a",$B$2/B31)</f>
        <v/>
      </c>
      <c r="E31" s="13">
        <f>IF($B$3=0,0,B31/$B$3)</f>
        <v/>
      </c>
      <c r="F31" s="14">
        <f>IF(B31=0,"n/a",$B$3/B31)</f>
        <v/>
      </c>
      <c r="G31" s="15" t="n"/>
      <c r="H31" s="16" t="n"/>
      <c r="I31" s="17">
        <f>IF(H31="","",IF(H31&lt;=1,"n/a",($B$2-B31)/(H31-1)))</f>
        <v/>
      </c>
    </row>
    <row r="32">
      <c r="A32" s="11" t="inlineStr">
        <is>
          <t>Heal Rare</t>
        </is>
      </c>
      <c r="B32" s="12" t="n">
        <v>1</v>
      </c>
      <c r="C32" s="13">
        <f>IF($B$2=0,0,B32/$B$2)</f>
        <v/>
      </c>
      <c r="D32" s="14">
        <f>IF(B32=0,"n/a",$B$2/B32)</f>
        <v/>
      </c>
      <c r="E32" s="13">
        <f>IF($B$3=0,0,B32/$B$3)</f>
        <v/>
      </c>
      <c r="F32" s="14">
        <f>IF(B32=0,"n/a",$B$3/B32)</f>
        <v/>
      </c>
      <c r="G32" s="15" t="n"/>
      <c r="H32" s="16" t="n"/>
      <c r="I32" s="17">
        <f>IF(H32="","",IF(H32&lt;=1,"n/a",($B$2-B32)/(H32-1)))</f>
        <v/>
      </c>
    </row>
    <row r="33">
      <c r="A33" s="11" t="inlineStr">
        <is>
          <t>Heal All</t>
        </is>
      </c>
      <c r="B33" s="12" t="n">
        <v>0</v>
      </c>
      <c r="C33" s="13">
        <f>IF($B$2=0,0,B33/$B$2)</f>
        <v/>
      </c>
      <c r="D33" s="14">
        <f>IF(B33=0,"n/a",$B$2/B33)</f>
        <v/>
      </c>
      <c r="E33" s="13">
        <f>IF($B$3=0,0,B33/$B$3)</f>
        <v/>
      </c>
      <c r="F33" s="14">
        <f>IF(B33=0,"n/a",$B$3/B33)</f>
        <v/>
      </c>
      <c r="G33" s="15" t="n"/>
      <c r="H33" s="16" t="n"/>
      <c r="I33" s="17">
        <f>IF(H33="","",IF(H33&lt;=1,"n/a",($B$2-B33)/(H33-1)))</f>
        <v/>
      </c>
    </row>
    <row r="34">
      <c r="A34" s="11" t="inlineStr">
        <is>
          <t>Heat Wave</t>
        </is>
      </c>
      <c r="B34" s="12" t="n">
        <v>8</v>
      </c>
      <c r="C34" s="13">
        <f>IF($B$2=0,0,B34/$B$2)</f>
        <v/>
      </c>
      <c r="D34" s="14">
        <f>IF(B34=0,"n/a",$B$2/B34)</f>
        <v/>
      </c>
      <c r="E34" s="13">
        <f>IF($B$3=0,0,B34/$B$3)</f>
        <v/>
      </c>
      <c r="F34" s="14">
        <f>IF(B34=0,"n/a",$B$3/B34)</f>
        <v/>
      </c>
      <c r="G34" s="15" t="n"/>
      <c r="H34" s="16" t="n"/>
      <c r="I34" s="17">
        <f>IF(H34="","",IF(H34&lt;=1,"n/a",($B$2-B34)/(H34-1)))</f>
        <v/>
      </c>
    </row>
    <row r="35">
      <c r="A35" s="11" t="inlineStr">
        <is>
          <t>Hostile Fauna Spawn</t>
        </is>
      </c>
      <c r="B35" s="12" t="n">
        <v>3</v>
      </c>
      <c r="C35" s="13">
        <f>IF($B$2=0,0,B35/$B$2)</f>
        <v/>
      </c>
      <c r="D35" s="14">
        <f>IF(B35=0,"n/a",$B$2/B35)</f>
        <v/>
      </c>
      <c r="E35" s="13">
        <f>IF($B$3=0,0,B35/$B$3)</f>
        <v/>
      </c>
      <c r="F35" s="14">
        <f>IF(B35=0,"n/a",$B$3/B35)</f>
        <v/>
      </c>
      <c r="G35" s="15" t="n"/>
      <c r="H35" s="16" t="n"/>
      <c r="I35" s="17">
        <f>IF(H35="","",IF(H35&lt;=1,"n/a",($B$2-B35)/(H35-1)))</f>
        <v/>
      </c>
    </row>
    <row r="36">
      <c r="A36" s="11" t="inlineStr">
        <is>
          <t>Ignite</t>
        </is>
      </c>
      <c r="B36" s="12" t="n">
        <v>3</v>
      </c>
      <c r="C36" s="13">
        <f>IF($B$2=0,0,B36/$B$2)</f>
        <v/>
      </c>
      <c r="D36" s="14">
        <f>IF(B36=0,"n/a",$B$2/B36)</f>
        <v/>
      </c>
      <c r="E36" s="13">
        <f>IF($B$3=0,0,B36/$B$3)</f>
        <v/>
      </c>
      <c r="F36" s="14">
        <f>IF(B36=0,"n/a",$B$3/B36)</f>
        <v/>
      </c>
      <c r="G36" s="15" t="n"/>
      <c r="H36" s="16" t="n"/>
      <c r="I36" s="17">
        <f>IF(H36="","",IF(H36&lt;=1,"n/a",($B$2-B36)/(H36-1)))</f>
        <v/>
      </c>
    </row>
    <row r="37">
      <c r="A37" s="11" t="inlineStr">
        <is>
          <t>Junk Spawn</t>
        </is>
      </c>
      <c r="B37" s="12" t="n">
        <v>10</v>
      </c>
      <c r="C37" s="13">
        <f>IF($B$2=0,0,B37/$B$2)</f>
        <v/>
      </c>
      <c r="D37" s="14">
        <f>IF(B37=0,"n/a",$B$2/B37)</f>
        <v/>
      </c>
      <c r="E37" s="13">
        <f>IF($B$3=0,0,B37/$B$3)</f>
        <v/>
      </c>
      <c r="F37" s="14">
        <f>IF(B37=0,"n/a",$B$3/B37)</f>
        <v/>
      </c>
      <c r="G37" s="15" t="n"/>
      <c r="H37" s="16" t="n"/>
      <c r="I37" s="17">
        <f>IF(H37="","",IF(H37&lt;=1,"n/a",($B$2-B37)/(H37-1)))</f>
        <v/>
      </c>
    </row>
    <row r="38">
      <c r="A38" s="11" t="inlineStr">
        <is>
          <t>Knock</t>
        </is>
      </c>
      <c r="B38" s="12" t="n">
        <v>3</v>
      </c>
      <c r="C38" s="13">
        <f>IF($B$2=0,0,B38/$B$2)</f>
        <v/>
      </c>
      <c r="D38" s="14">
        <f>IF(B38=0,"n/a",$B$2/B38)</f>
        <v/>
      </c>
      <c r="E38" s="13">
        <f>IF($B$3=0,0,B38/$B$3)</f>
        <v/>
      </c>
      <c r="F38" s="14">
        <f>IF(B38=0,"n/a",$B$3/B38)</f>
        <v/>
      </c>
      <c r="G38" s="15" t="n"/>
      <c r="H38" s="16" t="n"/>
      <c r="I38" s="17">
        <f>IF(H38="","",IF(H38&lt;=1,"n/a",($B$2-B38)/(H38-1)))</f>
        <v/>
      </c>
    </row>
    <row r="39">
      <c r="A39" s="11" t="inlineStr">
        <is>
          <t>Light Flicker</t>
        </is>
      </c>
      <c r="B39" s="12" t="n">
        <v>10</v>
      </c>
      <c r="C39" s="13">
        <f>IF($B$2=0,0,B39/$B$2)</f>
        <v/>
      </c>
      <c r="D39" s="14">
        <f>IF(B39=0,"n/a",$B$2/B39)</f>
        <v/>
      </c>
      <c r="E39" s="13">
        <f>IF($B$3=0,0,B39/$B$3)</f>
        <v/>
      </c>
      <c r="F39" s="14">
        <f>IF(B39=0,"n/a",$B$3/B39)</f>
        <v/>
      </c>
      <c r="G39" s="15" t="n"/>
      <c r="H39" s="16" t="n"/>
      <c r="I39" s="17">
        <f>IF(H39="","",IF(H39&lt;=1,"n/a",($B$2-B39)/(H39-1)))</f>
        <v/>
      </c>
    </row>
    <row r="40">
      <c r="A40" s="11" t="inlineStr">
        <is>
          <t>Magnet</t>
        </is>
      </c>
      <c r="B40" s="12" t="n">
        <v>3</v>
      </c>
      <c r="C40" s="13">
        <f>IF($B$2=0,0,B40/$B$2)</f>
        <v/>
      </c>
      <c r="D40" s="14">
        <f>IF(B40=0,"n/a",$B$2/B40)</f>
        <v/>
      </c>
      <c r="E40" s="13">
        <f>IF($B$3=0,0,B40/$B$3)</f>
        <v/>
      </c>
      <c r="F40" s="14">
        <f>IF(B40=0,"n/a",$B$3/B40)</f>
        <v/>
      </c>
      <c r="G40" s="15" t="n"/>
      <c r="H40" s="16" t="n"/>
      <c r="I40" s="17">
        <f>IF(H40="","",IF(H40&lt;=1,"n/a",($B$2-B40)/(H40-1)))</f>
        <v/>
      </c>
    </row>
    <row r="41">
      <c r="A41" s="11" t="inlineStr">
        <is>
          <t>Magnet Negative</t>
        </is>
      </c>
      <c r="B41" s="12" t="n">
        <v>3</v>
      </c>
      <c r="C41" s="13">
        <f>IF($B$2=0,0,B41/$B$2)</f>
        <v/>
      </c>
      <c r="D41" s="14">
        <f>IF(B41=0,"n/a",$B$2/B41)</f>
        <v/>
      </c>
      <c r="E41" s="13">
        <f>IF($B$3=0,0,B41/$B$3)</f>
        <v/>
      </c>
      <c r="F41" s="14">
        <f>IF(B41=0,"n/a",$B$3/B41)</f>
        <v/>
      </c>
      <c r="G41" s="15" t="n"/>
      <c r="H41" s="16" t="n"/>
      <c r="I41" s="17">
        <f>IF(H41="","",IF(H41&lt;=1,"n/a",($B$2-B41)/(H41-1)))</f>
        <v/>
      </c>
    </row>
    <row r="42">
      <c r="A42" s="11" t="inlineStr">
        <is>
          <t>Monkey Spawn</t>
        </is>
      </c>
      <c r="B42" s="12" t="n">
        <v>8</v>
      </c>
      <c r="C42" s="13">
        <f>IF($B$2=0,0,B42/$B$2)</f>
        <v/>
      </c>
      <c r="D42" s="14">
        <f>IF(B42=0,"n/a",$B$2/B42)</f>
        <v/>
      </c>
      <c r="E42" s="13">
        <f>IF($B$3=0,0,B42/$B$3)</f>
        <v/>
      </c>
      <c r="F42" s="14">
        <f>IF(B42=0,"n/a",$B$3/B42)</f>
        <v/>
      </c>
      <c r="G42" s="15" t="n"/>
      <c r="H42" s="16" t="n"/>
      <c r="I42" s="17">
        <f>IF(H42="","",IF(H42&lt;=1,"n/a",($B$2-B42)/(H42-1)))</f>
        <v/>
      </c>
    </row>
    <row r="43">
      <c r="A43" s="11" t="inlineStr">
        <is>
          <t>Phasing</t>
        </is>
      </c>
      <c r="B43" s="12" t="n">
        <v>8</v>
      </c>
      <c r="C43" s="13">
        <f>IF($B$2=0,0,B43/$B$2)</f>
        <v/>
      </c>
      <c r="D43" s="14">
        <f>IF(B43=0,"n/a",$B$2/B43)</f>
        <v/>
      </c>
      <c r="E43" s="13">
        <f>IF($B$3=0,0,B43/$B$3)</f>
        <v/>
      </c>
      <c r="F43" s="14">
        <f>IF(B43=0,"n/a",$B$3/B43)</f>
        <v/>
      </c>
      <c r="G43" s="15" t="n"/>
      <c r="H43" s="16" t="n"/>
      <c r="I43" s="17">
        <f>IF(H43="","",IF(H43&lt;=1,"n/a",($B$2-B43)/(H43-1)))</f>
        <v/>
      </c>
    </row>
    <row r="44">
      <c r="A44" s="11" t="inlineStr">
        <is>
          <t>Poly Luminous</t>
        </is>
      </c>
      <c r="B44" s="12" t="n">
        <v>8</v>
      </c>
      <c r="C44" s="13">
        <f>IF($B$2=0,0,B44/$B$2)</f>
        <v/>
      </c>
      <c r="D44" s="14">
        <f>IF(B44=0,"n/a",$B$2/B44)</f>
        <v/>
      </c>
      <c r="E44" s="13">
        <f>IF($B$3=0,0,B44/$B$3)</f>
        <v/>
      </c>
      <c r="F44" s="14">
        <f>IF(B44=0,"n/a",$B$3/B44)</f>
        <v/>
      </c>
      <c r="G44" s="15" t="n"/>
      <c r="H44" s="16" t="n"/>
      <c r="I44" s="17">
        <f>IF(H44="","",IF(H44&lt;=1,"n/a",($B$2-B44)/(H44-1)))</f>
        <v/>
      </c>
    </row>
    <row r="45">
      <c r="A45" s="11" t="inlineStr">
        <is>
          <t>Poly Lizard</t>
        </is>
      </c>
      <c r="B45" s="12" t="n">
        <v>8</v>
      </c>
      <c r="C45" s="13">
        <f>IF($B$2=0,0,B45/$B$2)</f>
        <v/>
      </c>
      <c r="D45" s="14">
        <f>IF(B45=0,"n/a",$B$2/B45)</f>
        <v/>
      </c>
      <c r="E45" s="13">
        <f>IF($B$3=0,0,B45/$B$3)</f>
        <v/>
      </c>
      <c r="F45" s="14">
        <f>IF(B45=0,"n/a",$B$3/B45)</f>
        <v/>
      </c>
      <c r="G45" s="15" t="n"/>
      <c r="H45" s="16" t="n"/>
      <c r="I45" s="17">
        <f>IF(H45="","",IF(H45&lt;=1,"n/a",($B$2-B45)/(H45-1)))</f>
        <v/>
      </c>
    </row>
    <row r="46">
      <c r="A46" s="11" t="inlineStr">
        <is>
          <t>Poly Monkey</t>
        </is>
      </c>
      <c r="B46" s="12" t="n">
        <v>8</v>
      </c>
      <c r="C46" s="13">
        <f>IF($B$2=0,0,B46/$B$2)</f>
        <v/>
      </c>
      <c r="D46" s="14">
        <f>IF(B46=0,"n/a",$B$2/B46)</f>
        <v/>
      </c>
      <c r="E46" s="13">
        <f>IF($B$3=0,0,B46/$B$3)</f>
        <v/>
      </c>
      <c r="F46" s="14">
        <f>IF(B46=0,"n/a",$B$3/B46)</f>
        <v/>
      </c>
      <c r="G46" s="15" t="n"/>
      <c r="H46" s="16" t="n"/>
      <c r="I46" s="17">
        <f>IF(H46="","",IF(H46&lt;=1,"n/a",($B$2-B46)/(H46-1)))</f>
        <v/>
      </c>
    </row>
    <row r="47">
      <c r="A47" s="11" t="inlineStr">
        <is>
          <t>Portal</t>
        </is>
      </c>
      <c r="B47" s="12" t="n">
        <v>1</v>
      </c>
      <c r="C47" s="13">
        <f>IF($B$2=0,0,B47/$B$2)</f>
        <v/>
      </c>
      <c r="D47" s="14">
        <f>IF(B47=0,"n/a",$B$2/B47)</f>
        <v/>
      </c>
      <c r="E47" s="13">
        <f>IF($B$3=0,0,B47/$B$3)</f>
        <v/>
      </c>
      <c r="F47" s="14">
        <f>IF(B47=0,"n/a",$B$3/B47)</f>
        <v/>
      </c>
      <c r="G47" s="15" t="n"/>
      <c r="H47" s="16" t="n"/>
      <c r="I47" s="17">
        <f>IF(H47="","",IF(H47&lt;=1,"n/a",($B$2-B47)/(H47-1)))</f>
        <v/>
      </c>
    </row>
    <row r="48">
      <c r="A48" s="11" t="inlineStr">
        <is>
          <t>Potassium Wave</t>
        </is>
      </c>
      <c r="B48" s="12" t="n">
        <v>8</v>
      </c>
      <c r="C48" s="13">
        <f>IF($B$2=0,0,B48/$B$2)</f>
        <v/>
      </c>
      <c r="D48" s="14">
        <f>IF(B48=0,"n/a",$B$2/B48)</f>
        <v/>
      </c>
      <c r="E48" s="13">
        <f>IF($B$3=0,0,B48/$B$3)</f>
        <v/>
      </c>
      <c r="F48" s="14">
        <f>IF(B48=0,"n/a",$B$3/B48)</f>
        <v/>
      </c>
      <c r="G48" s="15" t="n"/>
      <c r="H48" s="16" t="n"/>
      <c r="I48" s="17">
        <f>IF(H48="","",IF(H48&lt;=1,"n/a",($B$2-B48)/(H48-1)))</f>
        <v/>
      </c>
    </row>
    <row r="49">
      <c r="A49" s="11" t="inlineStr">
        <is>
          <t>Puddle Rare</t>
        </is>
      </c>
      <c r="B49" s="12" t="n">
        <v>1</v>
      </c>
      <c r="C49" s="13">
        <f>IF($B$2=0,0,B49/$B$2)</f>
        <v/>
      </c>
      <c r="D49" s="14">
        <f>IF(B49=0,"n/a",$B$2/B49)</f>
        <v/>
      </c>
      <c r="E49" s="13">
        <f>IF($B$3=0,0,B49/$B$3)</f>
        <v/>
      </c>
      <c r="F49" s="14">
        <f>IF(B49=0,"n/a",$B$3/B49)</f>
        <v/>
      </c>
      <c r="G49" s="15" t="n"/>
      <c r="H49" s="16" t="n"/>
      <c r="I49" s="17">
        <f>IF(H49="","",IF(H49&lt;=1,"n/a",($B$2-B49)/(H49-1)))</f>
        <v/>
      </c>
    </row>
    <row r="50">
      <c r="A50" s="11" t="inlineStr">
        <is>
          <t>Radioactive</t>
        </is>
      </c>
      <c r="B50" s="12" t="n">
        <v>10</v>
      </c>
      <c r="C50" s="13">
        <f>IF($B$2=0,0,B50/$B$2)</f>
        <v/>
      </c>
      <c r="D50" s="14">
        <f>IF(B50=0,"n/a",$B$2/B50)</f>
        <v/>
      </c>
      <c r="E50" s="13">
        <f>IF($B$3=0,0,B50/$B$3)</f>
        <v/>
      </c>
      <c r="F50" s="14">
        <f>IF(B50=0,"n/a",$B$3/B50)</f>
        <v/>
      </c>
      <c r="G50" s="15" t="n"/>
      <c r="H50" s="16" t="n"/>
      <c r="I50" s="17">
        <f>IF(H50="","",IF(H50&lt;=1,"n/a",($B$2-B50)/(H50-1)))</f>
        <v/>
      </c>
    </row>
    <row r="51">
      <c r="A51" s="11" t="inlineStr">
        <is>
          <t>Radioactive Strong</t>
        </is>
      </c>
      <c r="B51" s="12" t="n">
        <v>3</v>
      </c>
      <c r="C51" s="13">
        <f>IF($B$2=0,0,B51/$B$2)</f>
        <v/>
      </c>
      <c r="D51" s="14">
        <f>IF(B51=0,"n/a",$B$2/B51)</f>
        <v/>
      </c>
      <c r="E51" s="13">
        <f>IF($B$3=0,0,B51/$B$3)</f>
        <v/>
      </c>
      <c r="F51" s="14">
        <f>IF(B51=0,"n/a",$B$3/B51)</f>
        <v/>
      </c>
      <c r="G51" s="15" t="n"/>
      <c r="H51" s="16" t="n"/>
      <c r="I51" s="17">
        <f>IF(H51="","",IF(H51&lt;=1,"n/a",($B$2-B51)/(H51-1)))</f>
        <v/>
      </c>
    </row>
    <row r="52">
      <c r="A52" s="11" t="inlineStr">
        <is>
          <t>Random Instrument Spawn</t>
        </is>
      </c>
      <c r="B52" s="12" t="n">
        <v>10</v>
      </c>
      <c r="C52" s="13">
        <f>IF($B$2=0,0,B52/$B$2)</f>
        <v/>
      </c>
      <c r="D52" s="14">
        <f>IF(B52=0,"n/a",$B$2/B52)</f>
        <v/>
      </c>
      <c r="E52" s="13">
        <f>IF($B$3=0,0,B52/$B$3)</f>
        <v/>
      </c>
      <c r="F52" s="14">
        <f>IF(B52=0,"n/a",$B$3/B52)</f>
        <v/>
      </c>
      <c r="G52" s="15" t="n"/>
      <c r="H52" s="16" t="n"/>
      <c r="I52" s="17">
        <f>IF(H52="","",IF(H52&lt;=1,"n/a",($B$2-B52)/(H52-1)))</f>
        <v/>
      </c>
    </row>
    <row r="53">
      <c r="A53" s="11" t="inlineStr">
        <is>
          <t>Shatter Windows</t>
        </is>
      </c>
      <c r="B53" s="12" t="n">
        <v>8</v>
      </c>
      <c r="C53" s="13">
        <f>IF($B$2=0,0,B53/$B$2)</f>
        <v/>
      </c>
      <c r="D53" s="14">
        <f>IF(B53=0,"n/a",$B$2/B53)</f>
        <v/>
      </c>
      <c r="E53" s="13">
        <f>IF($B$3=0,0,B53/$B$3)</f>
        <v/>
      </c>
      <c r="F53" s="14">
        <f>IF(B53=0,"n/a",$B$3/B53)</f>
        <v/>
      </c>
      <c r="G53" s="15" t="n"/>
      <c r="H53" s="16" t="n"/>
      <c r="I53" s="17">
        <f>IF(H53="","",IF(H53&lt;=1,"n/a",($B$2-B53)/(H53-1)))</f>
        <v/>
      </c>
    </row>
    <row r="54">
      <c r="A54" s="11" t="inlineStr">
        <is>
          <t>Shuffle</t>
        </is>
      </c>
      <c r="B54" s="12" t="n">
        <v>3</v>
      </c>
      <c r="C54" s="13">
        <f>IF($B$2=0,0,B54/$B$2)</f>
        <v/>
      </c>
      <c r="D54" s="14">
        <f>IF(B54=0,"n/a",$B$2/B54)</f>
        <v/>
      </c>
      <c r="E54" s="13">
        <f>IF($B$3=0,0,B54/$B$3)</f>
        <v/>
      </c>
      <c r="F54" s="14">
        <f>IF(B54=0,"n/a",$B$3/B54)</f>
        <v/>
      </c>
      <c r="G54" s="15" t="n"/>
      <c r="H54" s="16" t="n"/>
      <c r="I54" s="17">
        <f>IF(H54="","",IF(H54&lt;=1,"n/a",($B$2-B54)/(H54-1)))</f>
        <v/>
      </c>
    </row>
    <row r="55">
      <c r="A55" s="11" t="inlineStr">
        <is>
          <t>Solution Storage</t>
        </is>
      </c>
      <c r="B55" s="12" t="n">
        <v>10</v>
      </c>
      <c r="C55" s="13">
        <f>IF($B$2=0,0,B55/$B$2)</f>
        <v/>
      </c>
      <c r="D55" s="14">
        <f>IF(B55=0,"n/a",$B$2/B55)</f>
        <v/>
      </c>
      <c r="E55" s="13">
        <f>IF($B$3=0,0,B55/$B$3)</f>
        <v/>
      </c>
      <c r="F55" s="14">
        <f>IF(B55=0,"n/a",$B$3/B55)</f>
        <v/>
      </c>
      <c r="G55" s="15" t="n"/>
      <c r="H55" s="16" t="n"/>
      <c r="I55" s="17">
        <f>IF(H55="","",IF(H55&lt;=1,"n/a",($B$2-B55)/(H55-1)))</f>
        <v/>
      </c>
    </row>
    <row r="56">
      <c r="A56" s="11" t="inlineStr">
        <is>
          <t>Angry Carp Spawn</t>
        </is>
      </c>
      <c r="B56" s="12" t="n">
        <v>3</v>
      </c>
      <c r="C56" s="13">
        <f>IF($B$2=0,0,B56/$B$2)</f>
        <v/>
      </c>
      <c r="D56" s="14">
        <f>IF(B56=0,"n/a",$B$2/B56)</f>
        <v/>
      </c>
      <c r="E56" s="13">
        <f>IF($B$3=0,0,B56/$B$3)</f>
        <v/>
      </c>
      <c r="F56" s="14">
        <f>IF(B56=0,"n/a",$B$3/B56)</f>
        <v/>
      </c>
      <c r="G56" s="15" t="n"/>
      <c r="H56" s="16" t="n"/>
      <c r="I56" s="17">
        <f>IF(H56="","",IF(H56&lt;=1,"n/a",($B$2-B56)/(H56-1)))</f>
        <v/>
      </c>
    </row>
    <row r="57">
      <c r="A57" s="11" t="inlineStr">
        <is>
          <t>Material Spawn Glass Few</t>
        </is>
      </c>
      <c r="B57" s="12" t="n">
        <v>10</v>
      </c>
      <c r="C57" s="13">
        <f>IF($B$2=0,0,B57/$B$2)</f>
        <v/>
      </c>
      <c r="D57" s="14">
        <f>IF(B57=0,"n/a",$B$2/B57)</f>
        <v/>
      </c>
      <c r="E57" s="13">
        <f>IF($B$3=0,0,B57/$B$3)</f>
        <v/>
      </c>
      <c r="F57" s="14">
        <f>IF(B57=0,"n/a",$B$3/B57)</f>
        <v/>
      </c>
      <c r="G57" s="15" t="n"/>
      <c r="H57" s="16" t="n"/>
      <c r="I57" s="17">
        <f>IF(H57="","",IF(H57&lt;=1,"n/a",($B$2-B57)/(H57-1)))</f>
        <v/>
      </c>
    </row>
    <row r="58">
      <c r="A58" s="11" t="inlineStr">
        <is>
          <t>Material Spawn Glass Many</t>
        </is>
      </c>
      <c r="B58" s="12" t="n">
        <v>3</v>
      </c>
      <c r="C58" s="13">
        <f>IF($B$2=0,0,B58/$B$2)</f>
        <v/>
      </c>
      <c r="D58" s="14">
        <f>IF(B58=0,"n/a",$B$2/B58)</f>
        <v/>
      </c>
      <c r="E58" s="13">
        <f>IF($B$3=0,0,B58/$B$3)</f>
        <v/>
      </c>
      <c r="F58" s="14">
        <f>IF(B58=0,"n/a",$B$3/B58)</f>
        <v/>
      </c>
      <c r="G58" s="15" t="n"/>
      <c r="H58" s="16" t="n"/>
      <c r="I58" s="17">
        <f>IF(H58="","",IF(H58&lt;=1,"n/a",($B$2-B58)/(H58-1)))</f>
        <v/>
      </c>
    </row>
    <row r="59">
      <c r="A59" s="11" t="inlineStr">
        <is>
          <t>Material Spawn Glass Stack</t>
        </is>
      </c>
      <c r="B59" s="12" t="n">
        <v>0</v>
      </c>
      <c r="C59" s="13">
        <f>IF($B$2=0,0,B59/$B$2)</f>
        <v/>
      </c>
      <c r="D59" s="14">
        <f>IF(B59=0,"n/a",$B$2/B59)</f>
        <v/>
      </c>
      <c r="E59" s="13">
        <f>IF($B$3=0,0,B59/$B$3)</f>
        <v/>
      </c>
      <c r="F59" s="14">
        <f>IF(B59=0,"n/a",$B$3/B59)</f>
        <v/>
      </c>
      <c r="G59" s="15" t="n"/>
      <c r="H59" s="16" t="n"/>
      <c r="I59" s="17">
        <f>IF(H59="","",IF(H59&lt;=1,"n/a",($B$2-B59)/(H59-1)))</f>
        <v/>
      </c>
    </row>
    <row r="60">
      <c r="A60" s="11" t="inlineStr">
        <is>
          <t>Material Spawn Steel Few</t>
        </is>
      </c>
      <c r="B60" s="12" t="n">
        <v>10</v>
      </c>
      <c r="C60" s="13">
        <f>IF($B$2=0,0,B60/$B$2)</f>
        <v/>
      </c>
      <c r="D60" s="14">
        <f>IF(B60=0,"n/a",$B$2/B60)</f>
        <v/>
      </c>
      <c r="E60" s="13">
        <f>IF($B$3=0,0,B60/$B$3)</f>
        <v/>
      </c>
      <c r="F60" s="14">
        <f>IF(B60=0,"n/a",$B$3/B60)</f>
        <v/>
      </c>
      <c r="G60" s="15" t="n"/>
      <c r="H60" s="16" t="n"/>
      <c r="I60" s="17">
        <f>IF(H60="","",IF(H60&lt;=1,"n/a",($B$2-B60)/(H60-1)))</f>
        <v/>
      </c>
    </row>
    <row r="61">
      <c r="A61" s="11" t="inlineStr">
        <is>
          <t>Material Spawn Steel Many</t>
        </is>
      </c>
      <c r="B61" s="12" t="n">
        <v>3</v>
      </c>
      <c r="C61" s="13">
        <f>IF($B$2=0,0,B61/$B$2)</f>
        <v/>
      </c>
      <c r="D61" s="14">
        <f>IF(B61=0,"n/a",$B$2/B61)</f>
        <v/>
      </c>
      <c r="E61" s="13">
        <f>IF($B$3=0,0,B61/$B$3)</f>
        <v/>
      </c>
      <c r="F61" s="14">
        <f>IF(B61=0,"n/a",$B$3/B61)</f>
        <v/>
      </c>
      <c r="G61" s="15" t="n"/>
      <c r="H61" s="16" t="n"/>
      <c r="I61" s="17">
        <f>IF(H61="","",IF(H61&lt;=1,"n/a",($B$2-B61)/(H61-1)))</f>
        <v/>
      </c>
    </row>
    <row r="62">
      <c r="A62" s="11" t="inlineStr">
        <is>
          <t>Material Spawn Steel Stack</t>
        </is>
      </c>
      <c r="B62" s="12" t="n">
        <v>0</v>
      </c>
      <c r="C62" s="13">
        <f>IF($B$2=0,0,B62/$B$2)</f>
        <v/>
      </c>
      <c r="D62" s="14">
        <f>IF(B62=0,"n/a",$B$2/B62)</f>
        <v/>
      </c>
      <c r="E62" s="13">
        <f>IF($B$3=0,0,B62/$B$3)</f>
        <v/>
      </c>
      <c r="F62" s="14">
        <f>IF(B62=0,"n/a",$B$3/B62)</f>
        <v/>
      </c>
      <c r="G62" s="15" t="n"/>
      <c r="H62" s="16" t="n"/>
      <c r="I62" s="17">
        <f>IF(H62="","",IF(H62&lt;=1,"n/a",($B$2-B62)/(H62-1)))</f>
        <v/>
      </c>
    </row>
    <row r="63">
      <c r="A63" s="11" t="inlineStr">
        <is>
          <t>Material Spawn Plastic Few</t>
        </is>
      </c>
      <c r="B63" s="12" t="n">
        <v>10</v>
      </c>
      <c r="C63" s="13">
        <f>IF($B$2=0,0,B63/$B$2)</f>
        <v/>
      </c>
      <c r="D63" s="14">
        <f>IF(B63=0,"n/a",$B$2/B63)</f>
        <v/>
      </c>
      <c r="E63" s="13">
        <f>IF($B$3=0,0,B63/$B$3)</f>
        <v/>
      </c>
      <c r="F63" s="14">
        <f>IF(B63=0,"n/a",$B$3/B63)</f>
        <v/>
      </c>
      <c r="G63" s="15" t="n"/>
      <c r="H63" s="16" t="n"/>
      <c r="I63" s="17">
        <f>IF(H63="","",IF(H63&lt;=1,"n/a",($B$2-B63)/(H63-1)))</f>
        <v/>
      </c>
    </row>
    <row r="64">
      <c r="A64" s="11" t="inlineStr">
        <is>
          <t>Material Spawn Plastic Many</t>
        </is>
      </c>
      <c r="B64" s="12" t="n">
        <v>3</v>
      </c>
      <c r="C64" s="13">
        <f>IF($B$2=0,0,B64/$B$2)</f>
        <v/>
      </c>
      <c r="D64" s="14">
        <f>IF(B64=0,"n/a",$B$2/B64)</f>
        <v/>
      </c>
      <c r="E64" s="13">
        <f>IF($B$3=0,0,B64/$B$3)</f>
        <v/>
      </c>
      <c r="F64" s="14">
        <f>IF(B64=0,"n/a",$B$3/B64)</f>
        <v/>
      </c>
      <c r="G64" s="15" t="n"/>
      <c r="H64" s="16" t="n"/>
      <c r="I64" s="17">
        <f>IF(H64="","",IF(H64&lt;=1,"n/a",($B$2-B64)/(H64-1)))</f>
        <v/>
      </c>
    </row>
    <row r="65">
      <c r="A65" s="11" t="inlineStr">
        <is>
          <t>Material Spawn Plastic Stack</t>
        </is>
      </c>
      <c r="B65" s="12" t="n">
        <v>0</v>
      </c>
      <c r="C65" s="13">
        <f>IF($B$2=0,0,B65/$B$2)</f>
        <v/>
      </c>
      <c r="D65" s="14">
        <f>IF(B65=0,"n/a",$B$2/B65)</f>
        <v/>
      </c>
      <c r="E65" s="13">
        <f>IF($B$3=0,0,B65/$B$3)</f>
        <v/>
      </c>
      <c r="F65" s="14">
        <f>IF(B65=0,"n/a",$B$3/B65)</f>
        <v/>
      </c>
      <c r="G65" s="15" t="n"/>
      <c r="H65" s="16" t="n"/>
      <c r="I65" s="17">
        <f>IF(H65="","",IF(H65&lt;=1,"n/a",($B$2-B65)/(H65-1)))</f>
        <v/>
      </c>
    </row>
    <row r="66">
      <c r="A66" s="11" t="inlineStr">
        <is>
          <t>Raw Material Spawn Bananium Few</t>
        </is>
      </c>
      <c r="B66" s="12" t="n">
        <v>3</v>
      </c>
      <c r="C66" s="13">
        <f>IF($B$2=0,0,B66/$B$2)</f>
        <v/>
      </c>
      <c r="D66" s="14">
        <f>IF(B66=0,"n/a",$B$2/B66)</f>
        <v/>
      </c>
      <c r="E66" s="13">
        <f>IF($B$3=0,0,B66/$B$3)</f>
        <v/>
      </c>
      <c r="F66" s="14">
        <f>IF(B66=0,"n/a",$B$3/B66)</f>
        <v/>
      </c>
      <c r="G66" s="15" t="n"/>
      <c r="H66" s="16" t="n"/>
      <c r="I66" s="17">
        <f>IF(H66="","",IF(H66&lt;=1,"n/a",($B$2-B66)/(H66-1)))</f>
        <v/>
      </c>
    </row>
    <row r="67">
      <c r="A67" s="11" t="inlineStr">
        <is>
          <t>Raw Material Spawn Bananium More</t>
        </is>
      </c>
      <c r="B67" s="12" t="n">
        <v>1</v>
      </c>
      <c r="C67" s="13">
        <f>IF($B$2=0,0,B67/$B$2)</f>
        <v/>
      </c>
      <c r="D67" s="14">
        <f>IF(B67=0,"n/a",$B$2/B67)</f>
        <v/>
      </c>
      <c r="E67" s="13">
        <f>IF($B$3=0,0,B67/$B$3)</f>
        <v/>
      </c>
      <c r="F67" s="14">
        <f>IF(B67=0,"n/a",$B$3/B67)</f>
        <v/>
      </c>
      <c r="G67" s="15" t="n"/>
      <c r="H67" s="16" t="n"/>
      <c r="I67" s="17">
        <f>IF(H67="","",IF(H67&lt;=1,"n/a",($B$2-B67)/(H67-1)))</f>
        <v/>
      </c>
    </row>
    <row r="68">
      <c r="A68" s="11" t="inlineStr">
        <is>
          <t>Raw Material Spawn Bananium Many</t>
        </is>
      </c>
      <c r="B68" s="12" t="n">
        <v>0</v>
      </c>
      <c r="C68" s="13">
        <f>IF($B$2=0,0,B68/$B$2)</f>
        <v/>
      </c>
      <c r="D68" s="14">
        <f>IF(B68=0,"n/a",$B$2/B68)</f>
        <v/>
      </c>
      <c r="E68" s="13">
        <f>IF($B$3=0,0,B68/$B$3)</f>
        <v/>
      </c>
      <c r="F68" s="14">
        <f>IF(B68=0,"n/a",$B$3/B68)</f>
        <v/>
      </c>
      <c r="G68" s="15" t="n"/>
      <c r="H68" s="16" t="n"/>
      <c r="I68" s="17">
        <f>IF(H68="","",IF(H68&lt;=1,"n/a",($B$2-B68)/(H68-1)))</f>
        <v/>
      </c>
    </row>
    <row r="69">
      <c r="A69" s="11" t="inlineStr">
        <is>
          <t>Raw Material Spawn Gold Few</t>
        </is>
      </c>
      <c r="B69" s="12" t="n">
        <v>10</v>
      </c>
      <c r="C69" s="13">
        <f>IF($B$2=0,0,B69/$B$2)</f>
        <v/>
      </c>
      <c r="D69" s="14">
        <f>IF(B69=0,"n/a",$B$2/B69)</f>
        <v/>
      </c>
      <c r="E69" s="13">
        <f>IF($B$3=0,0,B69/$B$3)</f>
        <v/>
      </c>
      <c r="F69" s="14">
        <f>IF(B69=0,"n/a",$B$3/B69)</f>
        <v/>
      </c>
      <c r="G69" s="15" t="n"/>
      <c r="H69" s="16" t="n"/>
      <c r="I69" s="17">
        <f>IF(H69="","",IF(H69&lt;=1,"n/a",($B$2-B69)/(H69-1)))</f>
        <v/>
      </c>
    </row>
    <row r="70">
      <c r="A70" s="11" t="inlineStr">
        <is>
          <t>Raw Material Spawn Gold More</t>
        </is>
      </c>
      <c r="B70" s="12" t="n">
        <v>1</v>
      </c>
      <c r="C70" s="13">
        <f>IF($B$2=0,0,B70/$B$2)</f>
        <v/>
      </c>
      <c r="D70" s="14">
        <f>IF(B70=0,"n/a",$B$2/B70)</f>
        <v/>
      </c>
      <c r="E70" s="13">
        <f>IF($B$3=0,0,B70/$B$3)</f>
        <v/>
      </c>
      <c r="F70" s="14">
        <f>IF(B70=0,"n/a",$B$3/B70)</f>
        <v/>
      </c>
      <c r="G70" s="15" t="n"/>
      <c r="H70" s="16" t="n"/>
      <c r="I70" s="17">
        <f>IF(H70="","",IF(H70&lt;=1,"n/a",($B$2-B70)/(H70-1)))</f>
        <v/>
      </c>
    </row>
    <row r="71">
      <c r="A71" s="11" t="inlineStr">
        <is>
          <t>Raw Material Spawn Gold Many</t>
        </is>
      </c>
      <c r="B71" s="12" t="n">
        <v>0</v>
      </c>
      <c r="C71" s="13">
        <f>IF($B$2=0,0,B71/$B$2)</f>
        <v/>
      </c>
      <c r="D71" s="14">
        <f>IF(B71=0,"n/a",$B$2/B71)</f>
        <v/>
      </c>
      <c r="E71" s="13">
        <f>IF($B$3=0,0,B71/$B$3)</f>
        <v/>
      </c>
      <c r="F71" s="14">
        <f>IF(B71=0,"n/a",$B$3/B71)</f>
        <v/>
      </c>
      <c r="G71" s="15" t="n"/>
      <c r="H71" s="16" t="n"/>
      <c r="I71" s="17">
        <f>IF(H71="","",IF(H71&lt;=1,"n/a",($B$2-B71)/(H71-1)))</f>
        <v/>
      </c>
    </row>
    <row r="72">
      <c r="A72" s="11" t="inlineStr">
        <is>
          <t>Raw Material Spawn Plasma Few</t>
        </is>
      </c>
      <c r="B72" s="12" t="n">
        <v>10</v>
      </c>
      <c r="C72" s="13">
        <f>IF($B$2=0,0,B72/$B$2)</f>
        <v/>
      </c>
      <c r="D72" s="14">
        <f>IF(B72=0,"n/a",$B$2/B72)</f>
        <v/>
      </c>
      <c r="E72" s="13">
        <f>IF($B$3=0,0,B72/$B$3)</f>
        <v/>
      </c>
      <c r="F72" s="14">
        <f>IF(B72=0,"n/a",$B$3/B72)</f>
        <v/>
      </c>
      <c r="G72" s="15" t="n"/>
      <c r="H72" s="16" t="n"/>
      <c r="I72" s="17">
        <f>IF(H72="","",IF(H72&lt;=1,"n/a",($B$2-B72)/(H72-1)))</f>
        <v/>
      </c>
    </row>
    <row r="73">
      <c r="A73" s="11" t="inlineStr">
        <is>
          <t>Raw Material Spawn Plasma More</t>
        </is>
      </c>
      <c r="B73" s="12" t="n">
        <v>1</v>
      </c>
      <c r="C73" s="13">
        <f>IF($B$2=0,0,B73/$B$2)</f>
        <v/>
      </c>
      <c r="D73" s="14">
        <f>IF(B73=0,"n/a",$B$2/B73)</f>
        <v/>
      </c>
      <c r="E73" s="13">
        <f>IF($B$3=0,0,B73/$B$3)</f>
        <v/>
      </c>
      <c r="F73" s="14">
        <f>IF(B73=0,"n/a",$B$3/B73)</f>
        <v/>
      </c>
      <c r="G73" s="15" t="n"/>
      <c r="H73" s="16" t="n"/>
      <c r="I73" s="17">
        <f>IF(H73="","",IF(H73&lt;=1,"n/a",($B$2-B73)/(H73-1)))</f>
        <v/>
      </c>
    </row>
    <row r="74">
      <c r="A74" s="11" t="inlineStr">
        <is>
          <t>Raw Material Spawn Plasma Many</t>
        </is>
      </c>
      <c r="B74" s="12" t="n">
        <v>0</v>
      </c>
      <c r="C74" s="13">
        <f>IF($B$2=0,0,B74/$B$2)</f>
        <v/>
      </c>
      <c r="D74" s="14">
        <f>IF(B74=0,"n/a",$B$2/B74)</f>
        <v/>
      </c>
      <c r="E74" s="13">
        <f>IF($B$3=0,0,B74/$B$3)</f>
        <v/>
      </c>
      <c r="F74" s="14">
        <f>IF(B74=0,"n/a",$B$3/B74)</f>
        <v/>
      </c>
      <c r="G74" s="15" t="n"/>
      <c r="H74" s="16" t="n"/>
      <c r="I74" s="17">
        <f>IF(H74="","",IF(H74&lt;=1,"n/a",($B$2-B74)/(H74-1)))</f>
        <v/>
      </c>
    </row>
    <row r="75">
      <c r="A75" s="11" t="inlineStr">
        <is>
          <t>Raw Material Spawn Silver Few</t>
        </is>
      </c>
      <c r="B75" s="12" t="n">
        <v>10</v>
      </c>
      <c r="C75" s="13">
        <f>IF($B$2=0,0,B75/$B$2)</f>
        <v/>
      </c>
      <c r="D75" s="14">
        <f>IF(B75=0,"n/a",$B$2/B75)</f>
        <v/>
      </c>
      <c r="E75" s="13">
        <f>IF($B$3=0,0,B75/$B$3)</f>
        <v/>
      </c>
      <c r="F75" s="14">
        <f>IF(B75=0,"n/a",$B$3/B75)</f>
        <v/>
      </c>
      <c r="G75" s="15" t="n"/>
      <c r="H75" s="16" t="n"/>
      <c r="I75" s="17">
        <f>IF(H75="","",IF(H75&lt;=1,"n/a",($B$2-B75)/(H75-1)))</f>
        <v/>
      </c>
    </row>
    <row r="76">
      <c r="A76" s="11" t="inlineStr">
        <is>
          <t>Raw Material Spawn Silver More</t>
        </is>
      </c>
      <c r="B76" s="12" t="n">
        <v>1</v>
      </c>
      <c r="C76" s="13">
        <f>IF($B$2=0,0,B76/$B$2)</f>
        <v/>
      </c>
      <c r="D76" s="14">
        <f>IF(B76=0,"n/a",$B$2/B76)</f>
        <v/>
      </c>
      <c r="E76" s="13">
        <f>IF($B$3=0,0,B76/$B$3)</f>
        <v/>
      </c>
      <c r="F76" s="14">
        <f>IF(B76=0,"n/a",$B$3/B76)</f>
        <v/>
      </c>
      <c r="G76" s="15" t="n"/>
      <c r="H76" s="16" t="n"/>
      <c r="I76" s="17">
        <f>IF(H76="","",IF(H76&lt;=1,"n/a",($B$2-B76)/(H76-1)))</f>
        <v/>
      </c>
    </row>
    <row r="77">
      <c r="A77" s="11" t="inlineStr">
        <is>
          <t>Raw Material Spawn Silver Many</t>
        </is>
      </c>
      <c r="B77" s="12" t="n">
        <v>0</v>
      </c>
      <c r="C77" s="13">
        <f>IF($B$2=0,0,B77/$B$2)</f>
        <v/>
      </c>
      <c r="D77" s="14">
        <f>IF(B77=0,"n/a",$B$2/B77)</f>
        <v/>
      </c>
      <c r="E77" s="13">
        <f>IF($B$3=0,0,B77/$B$3)</f>
        <v/>
      </c>
      <c r="F77" s="14">
        <f>IF(B77=0,"n/a",$B$3/B77)</f>
        <v/>
      </c>
      <c r="G77" s="15" t="n"/>
      <c r="H77" s="16" t="n"/>
      <c r="I77" s="17">
        <f>IF(H77="","",IF(H77&lt;=1,"n/a",($B$2-B77)/(H77-1)))</f>
        <v/>
      </c>
    </row>
    <row r="78">
      <c r="A78" s="11" t="inlineStr">
        <is>
          <t>Raw Material Spawn Uranium Few</t>
        </is>
      </c>
      <c r="B78" s="12" t="n">
        <v>10</v>
      </c>
      <c r="C78" s="13">
        <f>IF($B$2=0,0,B78/$B$2)</f>
        <v/>
      </c>
      <c r="D78" s="14">
        <f>IF(B78=0,"n/a",$B$2/B78)</f>
        <v/>
      </c>
      <c r="E78" s="13">
        <f>IF($B$3=0,0,B78/$B$3)</f>
        <v/>
      </c>
      <c r="F78" s="14">
        <f>IF(B78=0,"n/a",$B$3/B78)</f>
        <v/>
      </c>
      <c r="G78" s="15" t="n"/>
      <c r="H78" s="16" t="n"/>
      <c r="I78" s="17">
        <f>IF(H78="","",IF(H78&lt;=1,"n/a",($B$2-B78)/(H78-1)))</f>
        <v/>
      </c>
    </row>
    <row r="79">
      <c r="A79" s="11" t="inlineStr">
        <is>
          <t>Raw Material Spawn Uranium More</t>
        </is>
      </c>
      <c r="B79" s="12" t="n">
        <v>1</v>
      </c>
      <c r="C79" s="13">
        <f>IF($B$2=0,0,B79/$B$2)</f>
        <v/>
      </c>
      <c r="D79" s="14">
        <f>IF(B79=0,"n/a",$B$2/B79)</f>
        <v/>
      </c>
      <c r="E79" s="13">
        <f>IF($B$3=0,0,B79/$B$3)</f>
        <v/>
      </c>
      <c r="F79" s="14">
        <f>IF(B79=0,"n/a",$B$3/B79)</f>
        <v/>
      </c>
      <c r="G79" s="15" t="n"/>
      <c r="H79" s="16" t="n"/>
      <c r="I79" s="17">
        <f>IF(H79="","",IF(H79&lt;=1,"n/a",($B$2-B79)/(H79-1)))</f>
        <v/>
      </c>
    </row>
    <row r="80">
      <c r="A80" s="11" t="inlineStr">
        <is>
          <t>Raw Material Spawn Uranium Many</t>
        </is>
      </c>
      <c r="B80" s="12" t="n">
        <v>0</v>
      </c>
      <c r="C80" s="13">
        <f>IF($B$2=0,0,B80/$B$2)</f>
        <v/>
      </c>
      <c r="D80" s="14">
        <f>IF(B80=0,"n/a",$B$2/B80)</f>
        <v/>
      </c>
      <c r="E80" s="13">
        <f>IF($B$3=0,0,B80/$B$3)</f>
        <v/>
      </c>
      <c r="F80" s="14">
        <f>IF(B80=0,"n/a",$B$3/B80)</f>
        <v/>
      </c>
      <c r="G80" s="15" t="n"/>
      <c r="H80" s="16" t="n"/>
      <c r="I80" s="17">
        <f>IF(H80="","",IF(H80&lt;=1,"n/a",($B$2-B80)/(H80-1)))</f>
        <v/>
      </c>
    </row>
    <row r="81">
      <c r="A81" s="11" t="inlineStr">
        <is>
          <t>Stealth</t>
        </is>
      </c>
      <c r="B81" s="12" t="n">
        <v>3</v>
      </c>
      <c r="C81" s="13">
        <f>IF($B$2=0,0,B81/$B$2)</f>
        <v/>
      </c>
      <c r="D81" s="14">
        <f>IF(B81=0,"n/a",$B$2/B81)</f>
        <v/>
      </c>
      <c r="E81" s="13">
        <f>IF($B$3=0,0,B81/$B$3)</f>
        <v/>
      </c>
      <c r="F81" s="14">
        <f>IF(B81=0,"n/a",$B$3/B81)</f>
        <v/>
      </c>
      <c r="G81" s="15" t="n"/>
      <c r="H81" s="16" t="n"/>
      <c r="I81" s="17">
        <f>IF(H81="","",IF(H81&lt;=1,"n/a",($B$2-B81)/(H81-1)))</f>
        <v/>
      </c>
    </row>
    <row r="82">
      <c r="A82" s="11" t="inlineStr">
        <is>
          <t>Teleport</t>
        </is>
      </c>
      <c r="B82" s="12" t="n">
        <v>3</v>
      </c>
      <c r="C82" s="13">
        <f>IF($B$2=0,0,B82/$B$2)</f>
        <v/>
      </c>
      <c r="D82" s="14">
        <f>IF(B82=0,"n/a",$B$2/B82)</f>
        <v/>
      </c>
      <c r="E82" s="13">
        <f>IF($B$3=0,0,B82/$B$3)</f>
        <v/>
      </c>
      <c r="F82" s="14">
        <f>IF(B82=0,"n/a",$B$3/B82)</f>
        <v/>
      </c>
      <c r="G82" s="15" t="n"/>
      <c r="H82" s="16" t="n"/>
      <c r="I82" s="17">
        <f>IF(H82="","",IF(H82&lt;=1,"n/a",($B$2-B82)/(H82-1)))</f>
        <v/>
      </c>
    </row>
    <row r="83">
      <c r="A83" s="11" t="inlineStr">
        <is>
          <t>Throw Things Around</t>
        </is>
      </c>
      <c r="B83" s="12" t="n">
        <v>8</v>
      </c>
      <c r="C83" s="13">
        <f>IF($B$2=0,0,B83/$B$2)</f>
        <v/>
      </c>
      <c r="D83" s="14">
        <f>IF(B83=0,"n/a",$B$2/B83)</f>
        <v/>
      </c>
      <c r="E83" s="13">
        <f>IF($B$3=0,0,B83/$B$3)</f>
        <v/>
      </c>
      <c r="F83" s="14">
        <f>IF(B83=0,"n/a",$B$3/B83)</f>
        <v/>
      </c>
      <c r="G83" s="15" t="n"/>
      <c r="H83" s="16" t="n"/>
      <c r="I83" s="17">
        <f>IF(H83="","",IF(H83&lt;=1,"n/a",($B$2-B83)/(H83-1)))</f>
        <v/>
      </c>
    </row>
    <row r="84">
      <c r="A84" s="11" t="inlineStr">
        <is>
          <t>Wandering</t>
        </is>
      </c>
      <c r="B84" s="12" t="n">
        <v>8</v>
      </c>
      <c r="C84" s="13">
        <f>IF($B$2=0,0,B84/$B$2)</f>
        <v/>
      </c>
      <c r="D84" s="14">
        <f>IF(B84=0,"n/a",$B$2/B84)</f>
        <v/>
      </c>
      <c r="E84" s="13">
        <f>IF($B$3=0,0,B84/$B$3)</f>
        <v/>
      </c>
      <c r="F84" s="14">
        <f>IF(B84=0,"n/a",$B$3/B84)</f>
        <v/>
      </c>
      <c r="G84" s="15" t="n"/>
      <c r="H84" s="16" t="n"/>
      <c r="I84" s="17">
        <f>IF(H84="","",IF(H84&lt;=1,"n/a",($B$2-B84)/(H84-1)))</f>
        <v/>
      </c>
    </row>
    <row r="85">
      <c r="A85" s="18" t="inlineStr">
        <is>
          <t>Speed Up</t>
        </is>
      </c>
      <c r="B85" s="12" t="n">
        <v>3</v>
      </c>
      <c r="C85" s="19" t="inlineStr">
        <is>
          <t>—</t>
        </is>
      </c>
      <c r="D85" s="19" t="inlineStr">
        <is>
          <t>—</t>
        </is>
      </c>
      <c r="E85" s="13">
        <f>IF($B$3=0,0,B85/$B$3)</f>
        <v/>
      </c>
      <c r="F85" s="14">
        <f>IF(B85=0,"n/a",$B$3/B85)</f>
        <v/>
      </c>
      <c r="G85" s="15" t="n"/>
      <c r="H85" s="16" t="n"/>
      <c r="I85" s="17">
        <f>IF(H85="","",IF(H85&lt;=1,"n/a",($B$3-B85)/(H85-1)))</f>
        <v/>
      </c>
    </row>
    <row r="86">
      <c r="A86" s="18" t="inlineStr">
        <is>
          <t>Tool Crowbar</t>
        </is>
      </c>
      <c r="B86" s="12" t="n">
        <v>10</v>
      </c>
      <c r="C86" s="19" t="inlineStr">
        <is>
          <t>—</t>
        </is>
      </c>
      <c r="D86" s="19" t="inlineStr">
        <is>
          <t>—</t>
        </is>
      </c>
      <c r="E86" s="13">
        <f>IF($B$3=0,0,B86/$B$3)</f>
        <v/>
      </c>
      <c r="F86" s="14">
        <f>IF(B86=0,"n/a",$B$3/B86)</f>
        <v/>
      </c>
      <c r="G86" s="15" t="n"/>
      <c r="H86" s="16" t="n"/>
      <c r="I86" s="17">
        <f>IF(H86="","",IF(H86&lt;=1,"n/a",($B$3-B86)/(H86-1)))</f>
        <v/>
      </c>
    </row>
    <row r="87">
      <c r="A87" s="18" t="inlineStr">
        <is>
          <t>Tool Screwdriver</t>
        </is>
      </c>
      <c r="B87" s="12" t="n">
        <v>10</v>
      </c>
      <c r="C87" s="19" t="inlineStr">
        <is>
          <t>—</t>
        </is>
      </c>
      <c r="D87" s="19" t="inlineStr">
        <is>
          <t>—</t>
        </is>
      </c>
      <c r="E87" s="13">
        <f>IF($B$3=0,0,B87/$B$3)</f>
        <v/>
      </c>
      <c r="F87" s="14">
        <f>IF(B87=0,"n/a",$B$3/B87)</f>
        <v/>
      </c>
      <c r="G87" s="15" t="n"/>
      <c r="H87" s="16" t="n"/>
      <c r="I87" s="17">
        <f>IF(H87="","",IF(H87&lt;=1,"n/a",($B$3-B87)/(H87-1)))</f>
        <v/>
      </c>
    </row>
    <row r="88">
      <c r="A88" s="18" t="inlineStr">
        <is>
          <t>Tool Wrench</t>
        </is>
      </c>
      <c r="B88" s="12" t="n">
        <v>10</v>
      </c>
      <c r="C88" s="19" t="inlineStr">
        <is>
          <t>—</t>
        </is>
      </c>
      <c r="D88" s="19" t="inlineStr">
        <is>
          <t>—</t>
        </is>
      </c>
      <c r="E88" s="13">
        <f>IF($B$3=0,0,B88/$B$3)</f>
        <v/>
      </c>
      <c r="F88" s="14">
        <f>IF(B88=0,"n/a",$B$3/B88)</f>
        <v/>
      </c>
      <c r="G88" s="15" t="n"/>
      <c r="H88" s="16" t="n"/>
      <c r="I88" s="17">
        <f>IF(H88="","",IF(H88&lt;=1,"n/a",($B$3-B88)/(H88-1)))</f>
        <v/>
      </c>
    </row>
    <row r="89">
      <c r="A89" s="18" t="inlineStr">
        <is>
          <t>Tool Wirecutter</t>
        </is>
      </c>
      <c r="B89" s="12" t="n">
        <v>10</v>
      </c>
      <c r="C89" s="19" t="inlineStr">
        <is>
          <t>—</t>
        </is>
      </c>
      <c r="D89" s="19" t="inlineStr">
        <is>
          <t>—</t>
        </is>
      </c>
      <c r="E89" s="13">
        <f>IF($B$3=0,0,B89/$B$3)</f>
        <v/>
      </c>
      <c r="F89" s="14">
        <f>IF(B89=0,"n/a",$B$3/B89)</f>
        <v/>
      </c>
      <c r="G89" s="15" t="n"/>
      <c r="H89" s="16" t="n"/>
      <c r="I89" s="17">
        <f>IF(H89="","",IF(H89&lt;=1,"n/a",($B$3-B89)/(H89-1)))</f>
        <v/>
      </c>
    </row>
    <row r="90">
      <c r="A90" s="18" t="inlineStr">
        <is>
          <t>Tool Jaws</t>
        </is>
      </c>
      <c r="B90" s="12" t="n">
        <v>2</v>
      </c>
      <c r="C90" s="19" t="inlineStr">
        <is>
          <t>—</t>
        </is>
      </c>
      <c r="D90" s="19" t="inlineStr">
        <is>
          <t>—</t>
        </is>
      </c>
      <c r="E90" s="13">
        <f>IF($B$3=0,0,B90/$B$3)</f>
        <v/>
      </c>
      <c r="F90" s="14">
        <f>IF(B90=0,"n/a",$B$3/B90)</f>
        <v/>
      </c>
      <c r="G90" s="15" t="n"/>
      <c r="H90" s="16" t="n"/>
      <c r="I90" s="17">
        <f>IF(H90="","",IF(H90&lt;=1,"n/a",($B$3-B90)/(H90-1)))</f>
        <v/>
      </c>
    </row>
    <row r="91">
      <c r="A91" s="18" t="inlineStr">
        <is>
          <t>Tool Power Drill</t>
        </is>
      </c>
      <c r="B91" s="12" t="n">
        <v>2</v>
      </c>
      <c r="C91" s="19" t="inlineStr">
        <is>
          <t>—</t>
        </is>
      </c>
      <c r="D91" s="19" t="inlineStr">
        <is>
          <t>—</t>
        </is>
      </c>
      <c r="E91" s="13">
        <f>IF($B$3=0,0,B91/$B$3)</f>
        <v/>
      </c>
      <c r="F91" s="14">
        <f>IF(B91=0,"n/a",$B$3/B91)</f>
        <v/>
      </c>
      <c r="G91" s="15" t="n"/>
      <c r="H91" s="16" t="n"/>
      <c r="I91" s="17">
        <f>IF(H91="","",IF(H91&lt;=1,"n/a",($B$3-B91)/(H91-1)))</f>
        <v/>
      </c>
    </row>
    <row r="92">
      <c r="A92" s="18" t="inlineStr">
        <is>
          <t>Tool Knife</t>
        </is>
      </c>
      <c r="B92" s="12" t="n">
        <v>3</v>
      </c>
      <c r="C92" s="19" t="inlineStr">
        <is>
          <t>—</t>
        </is>
      </c>
      <c r="D92" s="19" t="inlineStr">
        <is>
          <t>—</t>
        </is>
      </c>
      <c r="E92" s="13">
        <f>IF($B$3=0,0,B92/$B$3)</f>
        <v/>
      </c>
      <c r="F92" s="14">
        <f>IF(B92=0,"n/a",$B$3/B92)</f>
        <v/>
      </c>
      <c r="G92" s="15" t="n"/>
      <c r="H92" s="16" t="n"/>
      <c r="I92" s="17">
        <f>IF(H92="","",IF(H92&lt;=1,"n/a",($B$3-B92)/(H92-1)))</f>
        <v/>
      </c>
    </row>
    <row r="93">
      <c r="A93" s="18" t="inlineStr">
        <is>
          <t>Omnitool</t>
        </is>
      </c>
      <c r="B93" s="12" t="n">
        <v>1</v>
      </c>
      <c r="C93" s="19" t="inlineStr">
        <is>
          <t>—</t>
        </is>
      </c>
      <c r="D93" s="19" t="inlineStr">
        <is>
          <t>—</t>
        </is>
      </c>
      <c r="E93" s="13">
        <f>IF($B$3=0,0,B93/$B$3)</f>
        <v/>
      </c>
      <c r="F93" s="14">
        <f>IF(B93=0,"n/a",$B$3/B93)</f>
        <v/>
      </c>
      <c r="G93" s="15" t="n"/>
      <c r="H93" s="16" t="n"/>
      <c r="I93" s="17">
        <f>IF(H93="","",IF(H93&lt;=1,"n/a",($B$3-B93)/(H93-1)))</f>
        <v/>
      </c>
    </row>
    <row r="94">
      <c r="A94" s="18" t="inlineStr">
        <is>
          <t>Tool Drill</t>
        </is>
      </c>
      <c r="B94" s="12" t="n">
        <v>3</v>
      </c>
      <c r="C94" s="19" t="inlineStr">
        <is>
          <t>—</t>
        </is>
      </c>
      <c r="D94" s="19" t="inlineStr">
        <is>
          <t>—</t>
        </is>
      </c>
      <c r="E94" s="13">
        <f>IF($B$3=0,0,B94/$B$3)</f>
        <v/>
      </c>
      <c r="F94" s="14">
        <f>IF(B94=0,"n/a",$B$3/B94)</f>
        <v/>
      </c>
      <c r="G94" s="15" t="n"/>
      <c r="H94" s="16" t="n"/>
      <c r="I94" s="17">
        <f>IF(H94="","",IF(H94&lt;=1,"n/a",($B$3-B94)/(H94-1)))</f>
        <v/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3" customWidth="1" min="7" max="7"/>
    <col width="13" customWidth="1" min="8" max="8"/>
    <col width="15" customWidth="1" min="9" max="9"/>
  </cols>
  <sheetData>
    <row r="1" ht="24" customHeight="1">
      <c r="A1" s="6" t="inlineStr">
        <is>
          <t>Main  —  Depth 1-2  (main nodes)</t>
        </is>
      </c>
    </row>
    <row r="2">
      <c r="A2" s="7" t="inlineStr">
        <is>
          <t>Big/structure pool total (core):</t>
        </is>
      </c>
      <c r="B2" s="8">
        <f>SUM(B6:B84)</f>
        <v/>
      </c>
      <c r="D2" s="9" t="inlineStr">
        <is>
          <t>&lt;- set the core table's nesting weight in effect_tables.yml to this</t>
        </is>
      </c>
    </row>
    <row r="3">
      <c r="A3" s="7" t="inlineStr">
        <is>
          <t>Hand-sized pool total (core+tools):</t>
        </is>
      </c>
      <c r="B3" s="8">
        <f>SUM(B6:B94)</f>
        <v/>
      </c>
    </row>
    <row r="5">
      <c r="A5" s="10" t="inlineStr">
        <is>
          <t>Effect</t>
        </is>
      </c>
      <c r="B5" s="10" t="inlineStr">
        <is>
          <t>Weight</t>
        </is>
      </c>
      <c r="C5" s="10" t="inlineStr">
        <is>
          <t>% big</t>
        </is>
      </c>
      <c r="D5" s="10" t="inlineStr">
        <is>
          <t>1 in X (big)</t>
        </is>
      </c>
      <c r="E5" s="10" t="inlineStr">
        <is>
          <t>% hand</t>
        </is>
      </c>
      <c r="F5" s="10" t="inlineStr">
        <is>
          <t>1 in X (hand)</t>
        </is>
      </c>
      <c r="G5" t="inlineStr"/>
      <c r="H5" s="10" t="inlineStr">
        <is>
          <t>Target 1 in X</t>
        </is>
      </c>
      <c r="I5" s="10" t="inlineStr">
        <is>
          <t>Suggested weight</t>
        </is>
      </c>
    </row>
    <row r="6">
      <c r="A6" s="11" t="inlineStr">
        <is>
          <t>Anomaly Spawn</t>
        </is>
      </c>
      <c r="B6" s="12" t="n">
        <v>1</v>
      </c>
      <c r="C6" s="13">
        <f>IF($B$2=0,0,B6/$B$2)</f>
        <v/>
      </c>
      <c r="D6" s="14">
        <f>IF(B6=0,"n/a",$B$2/B6)</f>
        <v/>
      </c>
      <c r="E6" s="13">
        <f>IF($B$3=0,0,B6/$B$3)</f>
        <v/>
      </c>
      <c r="F6" s="14">
        <f>IF(B6=0,"n/a",$B$3/B6)</f>
        <v/>
      </c>
      <c r="G6" s="15" t="n"/>
      <c r="H6" s="16" t="n"/>
      <c r="I6" s="17">
        <f>IF(H6="","",IF(H6&lt;=1,"n/a",($B$2-B6)/(H6-1)))</f>
        <v/>
      </c>
    </row>
    <row r="7">
      <c r="A7" s="11" t="inlineStr">
        <is>
          <t>Artifact Spawn</t>
        </is>
      </c>
      <c r="B7" s="12" t="n">
        <v>1</v>
      </c>
      <c r="C7" s="13">
        <f>IF($B$2=0,0,B7/$B$2)</f>
        <v/>
      </c>
      <c r="D7" s="14">
        <f>IF(B7=0,"n/a",$B$2/B7)</f>
        <v/>
      </c>
      <c r="E7" s="13">
        <f>IF($B$3=0,0,B7/$B$3)</f>
        <v/>
      </c>
      <c r="F7" s="14">
        <f>IF(B7=0,"n/a",$B$3/B7)</f>
        <v/>
      </c>
      <c r="G7" s="15" t="n"/>
      <c r="H7" s="16" t="n"/>
      <c r="I7" s="17">
        <f>IF(H7="","",IF(H7&lt;=1,"n/a",($B$2-B7)/(H7-1)))</f>
        <v/>
      </c>
    </row>
    <row r="8">
      <c r="A8" s="11" t="inlineStr">
        <is>
          <t>Bad Feeling</t>
        </is>
      </c>
      <c r="B8" s="12" t="n">
        <v>8</v>
      </c>
      <c r="C8" s="13">
        <f>IF($B$2=0,0,B8/$B$2)</f>
        <v/>
      </c>
      <c r="D8" s="14">
        <f>IF(B8=0,"n/a",$B$2/B8)</f>
        <v/>
      </c>
      <c r="E8" s="13">
        <f>IF($B$3=0,0,B8/$B$3)</f>
        <v/>
      </c>
      <c r="F8" s="14">
        <f>IF(B8=0,"n/a",$B$3/B8)</f>
        <v/>
      </c>
      <c r="G8" s="15" t="n"/>
      <c r="H8" s="16" t="n"/>
      <c r="I8" s="17">
        <f>IF(H8="","",IF(H8&lt;=1,"n/a",($B$2-B8)/(H8-1)))</f>
        <v/>
      </c>
    </row>
    <row r="9">
      <c r="A9" s="11" t="inlineStr">
        <is>
          <t>Boom</t>
        </is>
      </c>
      <c r="B9" s="12" t="n">
        <v>1</v>
      </c>
      <c r="C9" s="13">
        <f>IF($B$2=0,0,B9/$B$2)</f>
        <v/>
      </c>
      <c r="D9" s="14">
        <f>IF(B9=0,"n/a",$B$2/B9)</f>
        <v/>
      </c>
      <c r="E9" s="13">
        <f>IF($B$3=0,0,B9/$B$3)</f>
        <v/>
      </c>
      <c r="F9" s="14">
        <f>IF(B9=0,"n/a",$B$3/B9)</f>
        <v/>
      </c>
      <c r="G9" s="15" t="n"/>
      <c r="H9" s="16" t="n"/>
      <c r="I9" s="17">
        <f>IF(H9="","",IF(H9&lt;=1,"n/a",($B$2-B9)/(H9-1)))</f>
        <v/>
      </c>
    </row>
    <row r="10">
      <c r="A10" s="11" t="inlineStr">
        <is>
          <t>Cash Spawn</t>
        </is>
      </c>
      <c r="B10" s="12" t="n">
        <v>1</v>
      </c>
      <c r="C10" s="13">
        <f>IF($B$2=0,0,B10/$B$2)</f>
        <v/>
      </c>
      <c r="D10" s="14">
        <f>IF(B10=0,"n/a",$B$2/B10)</f>
        <v/>
      </c>
      <c r="E10" s="13">
        <f>IF($B$3=0,0,B10/$B$3)</f>
        <v/>
      </c>
      <c r="F10" s="14">
        <f>IF(B10=0,"n/a",$B$3/B10)</f>
        <v/>
      </c>
      <c r="G10" s="15" t="n"/>
      <c r="H10" s="16" t="n"/>
      <c r="I10" s="17">
        <f>IF(H10="","",IF(H10&lt;=1,"n/a",($B$2-B10)/(H10-1)))</f>
        <v/>
      </c>
    </row>
    <row r="11">
      <c r="A11" s="11" t="inlineStr">
        <is>
          <t>Old Cash Spawn</t>
        </is>
      </c>
      <c r="B11" s="12" t="n">
        <v>3</v>
      </c>
      <c r="C11" s="13">
        <f>IF($B$2=0,0,B11/$B$2)</f>
        <v/>
      </c>
      <c r="D11" s="14">
        <f>IF(B11=0,"n/a",$B$2/B11)</f>
        <v/>
      </c>
      <c r="E11" s="13">
        <f>IF($B$3=0,0,B11/$B$3)</f>
        <v/>
      </c>
      <c r="F11" s="14">
        <f>IF(B11=0,"n/a",$B$3/B11)</f>
        <v/>
      </c>
      <c r="G11" s="15" t="n"/>
      <c r="H11" s="16" t="n"/>
      <c r="I11" s="17">
        <f>IF(H11="","",IF(H11&lt;=1,"n/a",($B$2-B11)/(H11-1)))</f>
        <v/>
      </c>
    </row>
    <row r="12">
      <c r="A12" s="11" t="inlineStr">
        <is>
          <t>Charge Battery Low</t>
        </is>
      </c>
      <c r="B12" s="12" t="n">
        <v>8</v>
      </c>
      <c r="C12" s="13">
        <f>IF($B$2=0,0,B12/$B$2)</f>
        <v/>
      </c>
      <c r="D12" s="14">
        <f>IF(B12=0,"n/a",$B$2/B12)</f>
        <v/>
      </c>
      <c r="E12" s="13">
        <f>IF($B$3=0,0,B12/$B$3)</f>
        <v/>
      </c>
      <c r="F12" s="14">
        <f>IF(B12=0,"n/a",$B$3/B12)</f>
        <v/>
      </c>
      <c r="G12" s="15" t="n"/>
      <c r="H12" s="16" t="n"/>
      <c r="I12" s="17">
        <f>IF(H12="","",IF(H12&lt;=1,"n/a",($B$2-B12)/(H12-1)))</f>
        <v/>
      </c>
    </row>
    <row r="13">
      <c r="A13" s="11" t="inlineStr">
        <is>
          <t>Charge Battery</t>
        </is>
      </c>
      <c r="B13" s="12" t="n">
        <v>3</v>
      </c>
      <c r="C13" s="13">
        <f>IF($B$2=0,0,B13/$B$2)</f>
        <v/>
      </c>
      <c r="D13" s="14">
        <f>IF(B13=0,"n/a",$B$2/B13)</f>
        <v/>
      </c>
      <c r="E13" s="13">
        <f>IF($B$3=0,0,B13/$B$3)</f>
        <v/>
      </c>
      <c r="F13" s="14">
        <f>IF(B13=0,"n/a",$B$3/B13)</f>
        <v/>
      </c>
      <c r="G13" s="15" t="n"/>
      <c r="H13" s="16" t="n"/>
      <c r="I13" s="17">
        <f>IF(H13="","",IF(H13&lt;=1,"n/a",($B$2-B13)/(H13-1)))</f>
        <v/>
      </c>
    </row>
    <row r="14">
      <c r="A14" s="11" t="inlineStr">
        <is>
          <t>Chemical Puddle</t>
        </is>
      </c>
      <c r="B14" s="12" t="n">
        <v>10</v>
      </c>
      <c r="C14" s="13">
        <f>IF($B$2=0,0,B14/$B$2)</f>
        <v/>
      </c>
      <c r="D14" s="14">
        <f>IF(B14=0,"n/a",$B$2/B14)</f>
        <v/>
      </c>
      <c r="E14" s="13">
        <f>IF($B$3=0,0,B14/$B$3)</f>
        <v/>
      </c>
      <c r="F14" s="14">
        <f>IF(B14=0,"n/a",$B$3/B14)</f>
        <v/>
      </c>
      <c r="G14" s="15" t="n"/>
      <c r="H14" s="16" t="n"/>
      <c r="I14" s="17">
        <f>IF(H14="","",IF(H14&lt;=1,"n/a",($B$2-B14)/(H14-1)))</f>
        <v/>
      </c>
    </row>
    <row r="15">
      <c r="A15" s="11" t="inlineStr">
        <is>
          <t>Cold Wave</t>
        </is>
      </c>
      <c r="B15" s="12" t="n">
        <v>10</v>
      </c>
      <c r="C15" s="13">
        <f>IF($B$2=0,0,B15/$B$2)</f>
        <v/>
      </c>
      <c r="D15" s="14">
        <f>IF(B15=0,"n/a",$B$2/B15)</f>
        <v/>
      </c>
      <c r="E15" s="13">
        <f>IF($B$3=0,0,B15/$B$3)</f>
        <v/>
      </c>
      <c r="F15" s="14">
        <f>IF(B15=0,"n/a",$B$3/B15)</f>
        <v/>
      </c>
      <c r="G15" s="15" t="n"/>
      <c r="H15" s="16" t="n"/>
      <c r="I15" s="17">
        <f>IF(H15="","",IF(H15&lt;=1,"n/a",($B$2-B15)/(H15-1)))</f>
        <v/>
      </c>
    </row>
    <row r="16">
      <c r="A16" s="11" t="inlineStr">
        <is>
          <t>Creation Gas Ammonia</t>
        </is>
      </c>
      <c r="B16" s="12" t="n">
        <v>3</v>
      </c>
      <c r="C16" s="13">
        <f>IF($B$2=0,0,B16/$B$2)</f>
        <v/>
      </c>
      <c r="D16" s="14">
        <f>IF(B16=0,"n/a",$B$2/B16)</f>
        <v/>
      </c>
      <c r="E16" s="13">
        <f>IF($B$3=0,0,B16/$B$3)</f>
        <v/>
      </c>
      <c r="F16" s="14">
        <f>IF(B16=0,"n/a",$B$3/B16)</f>
        <v/>
      </c>
      <c r="G16" s="15" t="n"/>
      <c r="H16" s="16" t="n"/>
      <c r="I16" s="17">
        <f>IF(H16="","",IF(H16&lt;=1,"n/a",($B$2-B16)/(H16-1)))</f>
        <v/>
      </c>
    </row>
    <row r="17">
      <c r="A17" s="11" t="inlineStr">
        <is>
          <t>Creation Gas Carbon Dioxide</t>
        </is>
      </c>
      <c r="B17" s="12" t="n">
        <v>8</v>
      </c>
      <c r="C17" s="13">
        <f>IF($B$2=0,0,B17/$B$2)</f>
        <v/>
      </c>
      <c r="D17" s="14">
        <f>IF(B17=0,"n/a",$B$2/B17)</f>
        <v/>
      </c>
      <c r="E17" s="13">
        <f>IF($B$3=0,0,B17/$B$3)</f>
        <v/>
      </c>
      <c r="F17" s="14">
        <f>IF(B17=0,"n/a",$B$3/B17)</f>
        <v/>
      </c>
      <c r="G17" s="15" t="n"/>
      <c r="H17" s="16" t="n"/>
      <c r="I17" s="17">
        <f>IF(H17="","",IF(H17&lt;=1,"n/a",($B$2-B17)/(H17-1)))</f>
        <v/>
      </c>
    </row>
    <row r="18">
      <c r="A18" s="11" t="inlineStr">
        <is>
          <t>Creation Gas Frezon</t>
        </is>
      </c>
      <c r="B18" s="12" t="n">
        <v>8</v>
      </c>
      <c r="C18" s="13">
        <f>IF($B$2=0,0,B18/$B$2)</f>
        <v/>
      </c>
      <c r="D18" s="14">
        <f>IF(B18=0,"n/a",$B$2/B18)</f>
        <v/>
      </c>
      <c r="E18" s="13">
        <f>IF($B$3=0,0,B18/$B$3)</f>
        <v/>
      </c>
      <c r="F18" s="14">
        <f>IF(B18=0,"n/a",$B$3/B18)</f>
        <v/>
      </c>
      <c r="G18" s="15" t="n"/>
      <c r="H18" s="16" t="n"/>
      <c r="I18" s="17">
        <f>IF(H18="","",IF(H18&lt;=1,"n/a",($B$2-B18)/(H18-1)))</f>
        <v/>
      </c>
    </row>
    <row r="19">
      <c r="A19" s="11" t="inlineStr">
        <is>
          <t>Creation Gas Nitrous Oxide</t>
        </is>
      </c>
      <c r="B19" s="12" t="n">
        <v>8</v>
      </c>
      <c r="C19" s="13">
        <f>IF($B$2=0,0,B19/$B$2)</f>
        <v/>
      </c>
      <c r="D19" s="14">
        <f>IF(B19=0,"n/a",$B$2/B19)</f>
        <v/>
      </c>
      <c r="E19" s="13">
        <f>IF($B$3=0,0,B19/$B$3)</f>
        <v/>
      </c>
      <c r="F19" s="14">
        <f>IF(B19=0,"n/a",$B$3/B19)</f>
        <v/>
      </c>
      <c r="G19" s="15" t="n"/>
      <c r="H19" s="16" t="n"/>
      <c r="I19" s="17">
        <f>IF(H19="","",IF(H19&lt;=1,"n/a",($B$2-B19)/(H19-1)))</f>
        <v/>
      </c>
    </row>
    <row r="20">
      <c r="A20" s="11" t="inlineStr">
        <is>
          <t>Creation Gas Plasma</t>
        </is>
      </c>
      <c r="B20" s="12" t="n">
        <v>8</v>
      </c>
      <c r="C20" s="13">
        <f>IF($B$2=0,0,B20/$B$2)</f>
        <v/>
      </c>
      <c r="D20" s="14">
        <f>IF(B20=0,"n/a",$B$2/B20)</f>
        <v/>
      </c>
      <c r="E20" s="13">
        <f>IF($B$3=0,0,B20/$B$3)</f>
        <v/>
      </c>
      <c r="F20" s="14">
        <f>IF(B20=0,"n/a",$B$3/B20)</f>
        <v/>
      </c>
      <c r="G20" s="15" t="n"/>
      <c r="H20" s="16" t="n"/>
      <c r="I20" s="17">
        <f>IF(H20="","",IF(H20&lt;=1,"n/a",($B$2-B20)/(H20-1)))</f>
        <v/>
      </c>
    </row>
    <row r="21">
      <c r="A21" s="11" t="inlineStr">
        <is>
          <t>Creation Gas Tritium</t>
        </is>
      </c>
      <c r="B21" s="12" t="n">
        <v>8</v>
      </c>
      <c r="C21" s="13">
        <f>IF($B$2=0,0,B21/$B$2)</f>
        <v/>
      </c>
      <c r="D21" s="14">
        <f>IF(B21=0,"n/a",$B$2/B21)</f>
        <v/>
      </c>
      <c r="E21" s="13">
        <f>IF($B$3=0,0,B21/$B$3)</f>
        <v/>
      </c>
      <c r="F21" s="14">
        <f>IF(B21=0,"n/a",$B$3/B21)</f>
        <v/>
      </c>
      <c r="G21" s="15" t="n"/>
      <c r="H21" s="16" t="n"/>
      <c r="I21" s="17">
        <f>IF(H21="","",IF(H21&lt;=1,"n/a",($B$2-B21)/(H21-1)))</f>
        <v/>
      </c>
    </row>
    <row r="22">
      <c r="A22" s="11" t="inlineStr">
        <is>
          <t>Emp</t>
        </is>
      </c>
      <c r="B22" s="12" t="n">
        <v>3</v>
      </c>
      <c r="C22" s="13">
        <f>IF($B$2=0,0,B22/$B$2)</f>
        <v/>
      </c>
      <c r="D22" s="14">
        <f>IF(B22=0,"n/a",$B$2/B22)</f>
        <v/>
      </c>
      <c r="E22" s="13">
        <f>IF($B$3=0,0,B22/$B$3)</f>
        <v/>
      </c>
      <c r="F22" s="14">
        <f>IF(B22=0,"n/a",$B$3/B22)</f>
        <v/>
      </c>
      <c r="G22" s="15" t="n"/>
      <c r="H22" s="16" t="n"/>
      <c r="I22" s="17">
        <f>IF(H22="","",IF(H22&lt;=1,"n/a",($B$2-B22)/(H22-1)))</f>
        <v/>
      </c>
    </row>
    <row r="23">
      <c r="A23" s="11" t="inlineStr">
        <is>
          <t>Explosion Scary</t>
        </is>
      </c>
      <c r="B23" s="12" t="n">
        <v>1</v>
      </c>
      <c r="C23" s="13">
        <f>IF($B$2=0,0,B23/$B$2)</f>
        <v/>
      </c>
      <c r="D23" s="14">
        <f>IF(B23=0,"n/a",$B$2/B23)</f>
        <v/>
      </c>
      <c r="E23" s="13">
        <f>IF($B$3=0,0,B23/$B$3)</f>
        <v/>
      </c>
      <c r="F23" s="14">
        <f>IF(B23=0,"n/a",$B$3/B23)</f>
        <v/>
      </c>
      <c r="G23" s="15" t="n"/>
      <c r="H23" s="16" t="n"/>
      <c r="I23" s="17">
        <f>IF(H23="","",IF(H23&lt;=1,"n/a",($B$2-B23)/(H23-1)))</f>
        <v/>
      </c>
    </row>
    <row r="24">
      <c r="A24" s="11" t="inlineStr">
        <is>
          <t>Fauna Spawn</t>
        </is>
      </c>
      <c r="B24" s="12" t="n">
        <v>8</v>
      </c>
      <c r="C24" s="13">
        <f>IF($B$2=0,0,B24/$B$2)</f>
        <v/>
      </c>
      <c r="D24" s="14">
        <f>IF(B24=0,"n/a",$B$2/B24)</f>
        <v/>
      </c>
      <c r="E24" s="13">
        <f>IF($B$3=0,0,B24/$B$3)</f>
        <v/>
      </c>
      <c r="F24" s="14">
        <f>IF(B24=0,"n/a",$B$3/B24)</f>
        <v/>
      </c>
      <c r="G24" s="15" t="n"/>
      <c r="H24" s="16" t="n"/>
      <c r="I24" s="17">
        <f>IF(H24="","",IF(H24&lt;=1,"n/a",($B$2-B24)/(H24-1)))</f>
        <v/>
      </c>
    </row>
    <row r="25">
      <c r="A25" s="11" t="inlineStr">
        <is>
          <t>Flora Spawn</t>
        </is>
      </c>
      <c r="B25" s="12" t="n">
        <v>8</v>
      </c>
      <c r="C25" s="13">
        <f>IF($B$2=0,0,B25/$B$2)</f>
        <v/>
      </c>
      <c r="D25" s="14">
        <f>IF(B25=0,"n/a",$B$2/B25)</f>
        <v/>
      </c>
      <c r="E25" s="13">
        <f>IF($B$3=0,0,B25/$B$3)</f>
        <v/>
      </c>
      <c r="F25" s="14">
        <f>IF(B25=0,"n/a",$B$3/B25)</f>
        <v/>
      </c>
      <c r="G25" s="15" t="n"/>
      <c r="H25" s="16" t="n"/>
      <c r="I25" s="17">
        <f>IF(H25="","",IF(H25&lt;=1,"n/a",($B$2-B25)/(H25-1)))</f>
        <v/>
      </c>
    </row>
    <row r="26">
      <c r="A26" s="11" t="inlineStr">
        <is>
          <t>Foam Dangerous</t>
        </is>
      </c>
      <c r="B26" s="12" t="n">
        <v>8</v>
      </c>
      <c r="C26" s="13">
        <f>IF($B$2=0,0,B26/$B$2)</f>
        <v/>
      </c>
      <c r="D26" s="14">
        <f>IF(B26=0,"n/a",$B$2/B26)</f>
        <v/>
      </c>
      <c r="E26" s="13">
        <f>IF($B$3=0,0,B26/$B$3)</f>
        <v/>
      </c>
      <c r="F26" s="14">
        <f>IF(B26=0,"n/a",$B$3/B26)</f>
        <v/>
      </c>
      <c r="G26" s="15" t="n"/>
      <c r="H26" s="16" t="n"/>
      <c r="I26" s="17">
        <f>IF(H26="","",IF(H26&lt;=1,"n/a",($B$2-B26)/(H26-1)))</f>
        <v/>
      </c>
    </row>
    <row r="27">
      <c r="A27" s="11" t="inlineStr">
        <is>
          <t>Foam Good</t>
        </is>
      </c>
      <c r="B27" s="12" t="n">
        <v>8</v>
      </c>
      <c r="C27" s="13">
        <f>IF($B$2=0,0,B27/$B$2)</f>
        <v/>
      </c>
      <c r="D27" s="14">
        <f>IF(B27=0,"n/a",$B$2/B27)</f>
        <v/>
      </c>
      <c r="E27" s="13">
        <f>IF($B$3=0,0,B27/$B$3)</f>
        <v/>
      </c>
      <c r="F27" s="14">
        <f>IF(B27=0,"n/a",$B$3/B27)</f>
        <v/>
      </c>
      <c r="G27" s="15" t="n"/>
      <c r="H27" s="16" t="n"/>
      <c r="I27" s="17">
        <f>IF(H27="","",IF(H27&lt;=1,"n/a",($B$2-B27)/(H27-1)))</f>
        <v/>
      </c>
    </row>
    <row r="28">
      <c r="A28" s="11" t="inlineStr">
        <is>
          <t>Foam Mild</t>
        </is>
      </c>
      <c r="B28" s="12" t="n">
        <v>10</v>
      </c>
      <c r="C28" s="13">
        <f>IF($B$2=0,0,B28/$B$2)</f>
        <v/>
      </c>
      <c r="D28" s="14">
        <f>IF(B28=0,"n/a",$B$2/B28)</f>
        <v/>
      </c>
      <c r="E28" s="13">
        <f>IF($B$3=0,0,B28/$B$3)</f>
        <v/>
      </c>
      <c r="F28" s="14">
        <f>IF(B28=0,"n/a",$B$3/B28)</f>
        <v/>
      </c>
      <c r="G28" s="15" t="n"/>
      <c r="H28" s="16" t="n"/>
      <c r="I28" s="17">
        <f>IF(H28="","",IF(H28&lt;=1,"n/a",($B$2-B28)/(H28-1)))</f>
        <v/>
      </c>
    </row>
    <row r="29">
      <c r="A29" s="11" t="inlineStr">
        <is>
          <t>Good Feeling</t>
        </is>
      </c>
      <c r="B29" s="12" t="n">
        <v>8</v>
      </c>
      <c r="C29" s="13">
        <f>IF($B$2=0,0,B29/$B$2)</f>
        <v/>
      </c>
      <c r="D29" s="14">
        <f>IF(B29=0,"n/a",$B$2/B29)</f>
        <v/>
      </c>
      <c r="E29" s="13">
        <f>IF($B$3=0,0,B29/$B$3)</f>
        <v/>
      </c>
      <c r="F29" s="14">
        <f>IF(B29=0,"n/a",$B$3/B29)</f>
        <v/>
      </c>
      <c r="G29" s="15" t="n"/>
      <c r="H29" s="16" t="n"/>
      <c r="I29" s="17">
        <f>IF(H29="","",IF(H29&lt;=1,"n/a",($B$2-B29)/(H29-1)))</f>
        <v/>
      </c>
    </row>
    <row r="30">
      <c r="A30" s="11" t="inlineStr">
        <is>
          <t>Heal Brute</t>
        </is>
      </c>
      <c r="B30" s="12" t="n">
        <v>3</v>
      </c>
      <c r="C30" s="13">
        <f>IF($B$2=0,0,B30/$B$2)</f>
        <v/>
      </c>
      <c r="D30" s="14">
        <f>IF(B30=0,"n/a",$B$2/B30)</f>
        <v/>
      </c>
      <c r="E30" s="13">
        <f>IF($B$3=0,0,B30/$B$3)</f>
        <v/>
      </c>
      <c r="F30" s="14">
        <f>IF(B30=0,"n/a",$B$3/B30)</f>
        <v/>
      </c>
      <c r="G30" s="15" t="n"/>
      <c r="H30" s="16" t="n"/>
      <c r="I30" s="17">
        <f>IF(H30="","",IF(H30&lt;=1,"n/a",($B$2-B30)/(H30-1)))</f>
        <v/>
      </c>
    </row>
    <row r="31">
      <c r="A31" s="11" t="inlineStr">
        <is>
          <t>Heal Burn</t>
        </is>
      </c>
      <c r="B31" s="12" t="n">
        <v>3</v>
      </c>
      <c r="C31" s="13">
        <f>IF($B$2=0,0,B31/$B$2)</f>
        <v/>
      </c>
      <c r="D31" s="14">
        <f>IF(B31=0,"n/a",$B$2/B31)</f>
        <v/>
      </c>
      <c r="E31" s="13">
        <f>IF($B$3=0,0,B31/$B$3)</f>
        <v/>
      </c>
      <c r="F31" s="14">
        <f>IF(B31=0,"n/a",$B$3/B31)</f>
        <v/>
      </c>
      <c r="G31" s="15" t="n"/>
      <c r="H31" s="16" t="n"/>
      <c r="I31" s="17">
        <f>IF(H31="","",IF(H31&lt;=1,"n/a",($B$2-B31)/(H31-1)))</f>
        <v/>
      </c>
    </row>
    <row r="32">
      <c r="A32" s="11" t="inlineStr">
        <is>
          <t>Heal Rare</t>
        </is>
      </c>
      <c r="B32" s="12" t="n">
        <v>3</v>
      </c>
      <c r="C32" s="13">
        <f>IF($B$2=0,0,B32/$B$2)</f>
        <v/>
      </c>
      <c r="D32" s="14">
        <f>IF(B32=0,"n/a",$B$2/B32)</f>
        <v/>
      </c>
      <c r="E32" s="13">
        <f>IF($B$3=0,0,B32/$B$3)</f>
        <v/>
      </c>
      <c r="F32" s="14">
        <f>IF(B32=0,"n/a",$B$3/B32)</f>
        <v/>
      </c>
      <c r="G32" s="15" t="n"/>
      <c r="H32" s="16" t="n"/>
      <c r="I32" s="17">
        <f>IF(H32="","",IF(H32&lt;=1,"n/a",($B$2-B32)/(H32-1)))</f>
        <v/>
      </c>
    </row>
    <row r="33">
      <c r="A33" s="11" t="inlineStr">
        <is>
          <t>Heal All</t>
        </is>
      </c>
      <c r="B33" s="12" t="n">
        <v>1</v>
      </c>
      <c r="C33" s="13">
        <f>IF($B$2=0,0,B33/$B$2)</f>
        <v/>
      </c>
      <c r="D33" s="14">
        <f>IF(B33=0,"n/a",$B$2/B33)</f>
        <v/>
      </c>
      <c r="E33" s="13">
        <f>IF($B$3=0,0,B33/$B$3)</f>
        <v/>
      </c>
      <c r="F33" s="14">
        <f>IF(B33=0,"n/a",$B$3/B33)</f>
        <v/>
      </c>
      <c r="G33" s="15" t="n"/>
      <c r="H33" s="16" t="n"/>
      <c r="I33" s="17">
        <f>IF(H33="","",IF(H33&lt;=1,"n/a",($B$2-B33)/(H33-1)))</f>
        <v/>
      </c>
    </row>
    <row r="34">
      <c r="A34" s="11" t="inlineStr">
        <is>
          <t>Heat Wave</t>
        </is>
      </c>
      <c r="B34" s="12" t="n">
        <v>8</v>
      </c>
      <c r="C34" s="13">
        <f>IF($B$2=0,0,B34/$B$2)</f>
        <v/>
      </c>
      <c r="D34" s="14">
        <f>IF(B34=0,"n/a",$B$2/B34)</f>
        <v/>
      </c>
      <c r="E34" s="13">
        <f>IF($B$3=0,0,B34/$B$3)</f>
        <v/>
      </c>
      <c r="F34" s="14">
        <f>IF(B34=0,"n/a",$B$3/B34)</f>
        <v/>
      </c>
      <c r="G34" s="15" t="n"/>
      <c r="H34" s="16" t="n"/>
      <c r="I34" s="17">
        <f>IF(H34="","",IF(H34&lt;=1,"n/a",($B$2-B34)/(H34-1)))</f>
        <v/>
      </c>
    </row>
    <row r="35">
      <c r="A35" s="11" t="inlineStr">
        <is>
          <t>Hostile Fauna Spawn</t>
        </is>
      </c>
      <c r="B35" s="12" t="n">
        <v>8</v>
      </c>
      <c r="C35" s="13">
        <f>IF($B$2=0,0,B35/$B$2)</f>
        <v/>
      </c>
      <c r="D35" s="14">
        <f>IF(B35=0,"n/a",$B$2/B35)</f>
        <v/>
      </c>
      <c r="E35" s="13">
        <f>IF($B$3=0,0,B35/$B$3)</f>
        <v/>
      </c>
      <c r="F35" s="14">
        <f>IF(B35=0,"n/a",$B$3/B35)</f>
        <v/>
      </c>
      <c r="G35" s="15" t="n"/>
      <c r="H35" s="16" t="n"/>
      <c r="I35" s="17">
        <f>IF(H35="","",IF(H35&lt;=1,"n/a",($B$2-B35)/(H35-1)))</f>
        <v/>
      </c>
    </row>
    <row r="36">
      <c r="A36" s="11" t="inlineStr">
        <is>
          <t>Ignite</t>
        </is>
      </c>
      <c r="B36" s="12" t="n">
        <v>8</v>
      </c>
      <c r="C36" s="13">
        <f>IF($B$2=0,0,B36/$B$2)</f>
        <v/>
      </c>
      <c r="D36" s="14">
        <f>IF(B36=0,"n/a",$B$2/B36)</f>
        <v/>
      </c>
      <c r="E36" s="13">
        <f>IF($B$3=0,0,B36/$B$3)</f>
        <v/>
      </c>
      <c r="F36" s="14">
        <f>IF(B36=0,"n/a",$B$3/B36)</f>
        <v/>
      </c>
      <c r="G36" s="15" t="n"/>
      <c r="H36" s="16" t="n"/>
      <c r="I36" s="17">
        <f>IF(H36="","",IF(H36&lt;=1,"n/a",($B$2-B36)/(H36-1)))</f>
        <v/>
      </c>
    </row>
    <row r="37">
      <c r="A37" s="11" t="inlineStr">
        <is>
          <t>Junk Spawn</t>
        </is>
      </c>
      <c r="B37" s="12" t="n">
        <v>3</v>
      </c>
      <c r="C37" s="13">
        <f>IF($B$2=0,0,B37/$B$2)</f>
        <v/>
      </c>
      <c r="D37" s="14">
        <f>IF(B37=0,"n/a",$B$2/B37)</f>
        <v/>
      </c>
      <c r="E37" s="13">
        <f>IF($B$3=0,0,B37/$B$3)</f>
        <v/>
      </c>
      <c r="F37" s="14">
        <f>IF(B37=0,"n/a",$B$3/B37)</f>
        <v/>
      </c>
      <c r="G37" s="15" t="n"/>
      <c r="H37" s="16" t="n"/>
      <c r="I37" s="17">
        <f>IF(H37="","",IF(H37&lt;=1,"n/a",($B$2-B37)/(H37-1)))</f>
        <v/>
      </c>
    </row>
    <row r="38">
      <c r="A38" s="11" t="inlineStr">
        <is>
          <t>Knock</t>
        </is>
      </c>
      <c r="B38" s="12" t="n">
        <v>3</v>
      </c>
      <c r="C38" s="13">
        <f>IF($B$2=0,0,B38/$B$2)</f>
        <v/>
      </c>
      <c r="D38" s="14">
        <f>IF(B38=0,"n/a",$B$2/B38)</f>
        <v/>
      </c>
      <c r="E38" s="13">
        <f>IF($B$3=0,0,B38/$B$3)</f>
        <v/>
      </c>
      <c r="F38" s="14">
        <f>IF(B38=0,"n/a",$B$3/B38)</f>
        <v/>
      </c>
      <c r="G38" s="15" t="n"/>
      <c r="H38" s="16" t="n"/>
      <c r="I38" s="17">
        <f>IF(H38="","",IF(H38&lt;=1,"n/a",($B$2-B38)/(H38-1)))</f>
        <v/>
      </c>
    </row>
    <row r="39">
      <c r="A39" s="11" t="inlineStr">
        <is>
          <t>Light Flicker</t>
        </is>
      </c>
      <c r="B39" s="12" t="n">
        <v>8</v>
      </c>
      <c r="C39" s="13">
        <f>IF($B$2=0,0,B39/$B$2)</f>
        <v/>
      </c>
      <c r="D39" s="14">
        <f>IF(B39=0,"n/a",$B$2/B39)</f>
        <v/>
      </c>
      <c r="E39" s="13">
        <f>IF($B$3=0,0,B39/$B$3)</f>
        <v/>
      </c>
      <c r="F39" s="14">
        <f>IF(B39=0,"n/a",$B$3/B39)</f>
        <v/>
      </c>
      <c r="G39" s="15" t="n"/>
      <c r="H39" s="16" t="n"/>
      <c r="I39" s="17">
        <f>IF(H39="","",IF(H39&lt;=1,"n/a",($B$2-B39)/(H39-1)))</f>
        <v/>
      </c>
    </row>
    <row r="40">
      <c r="A40" s="11" t="inlineStr">
        <is>
          <t>Magnet</t>
        </is>
      </c>
      <c r="B40" s="12" t="n">
        <v>8</v>
      </c>
      <c r="C40" s="13">
        <f>IF($B$2=0,0,B40/$B$2)</f>
        <v/>
      </c>
      <c r="D40" s="14">
        <f>IF(B40=0,"n/a",$B$2/B40)</f>
        <v/>
      </c>
      <c r="E40" s="13">
        <f>IF($B$3=0,0,B40/$B$3)</f>
        <v/>
      </c>
      <c r="F40" s="14">
        <f>IF(B40=0,"n/a",$B$3/B40)</f>
        <v/>
      </c>
      <c r="G40" s="15" t="n"/>
      <c r="H40" s="16" t="n"/>
      <c r="I40" s="17">
        <f>IF(H40="","",IF(H40&lt;=1,"n/a",($B$2-B40)/(H40-1)))</f>
        <v/>
      </c>
    </row>
    <row r="41">
      <c r="A41" s="11" t="inlineStr">
        <is>
          <t>Magnet Negative</t>
        </is>
      </c>
      <c r="B41" s="12" t="n">
        <v>8</v>
      </c>
      <c r="C41" s="13">
        <f>IF($B$2=0,0,B41/$B$2)</f>
        <v/>
      </c>
      <c r="D41" s="14">
        <f>IF(B41=0,"n/a",$B$2/B41)</f>
        <v/>
      </c>
      <c r="E41" s="13">
        <f>IF($B$3=0,0,B41/$B$3)</f>
        <v/>
      </c>
      <c r="F41" s="14">
        <f>IF(B41=0,"n/a",$B$3/B41)</f>
        <v/>
      </c>
      <c r="G41" s="15" t="n"/>
      <c r="H41" s="16" t="n"/>
      <c r="I41" s="17">
        <f>IF(H41="","",IF(H41&lt;=1,"n/a",($B$2-B41)/(H41-1)))</f>
        <v/>
      </c>
    </row>
    <row r="42">
      <c r="A42" s="11" t="inlineStr">
        <is>
          <t>Monkey Spawn</t>
        </is>
      </c>
      <c r="B42" s="12" t="n">
        <v>8</v>
      </c>
      <c r="C42" s="13">
        <f>IF($B$2=0,0,B42/$B$2)</f>
        <v/>
      </c>
      <c r="D42" s="14">
        <f>IF(B42=0,"n/a",$B$2/B42)</f>
        <v/>
      </c>
      <c r="E42" s="13">
        <f>IF($B$3=0,0,B42/$B$3)</f>
        <v/>
      </c>
      <c r="F42" s="14">
        <f>IF(B42=0,"n/a",$B$3/B42)</f>
        <v/>
      </c>
      <c r="G42" s="15" t="n"/>
      <c r="H42" s="16" t="n"/>
      <c r="I42" s="17">
        <f>IF(H42="","",IF(H42&lt;=1,"n/a",($B$2-B42)/(H42-1)))</f>
        <v/>
      </c>
    </row>
    <row r="43">
      <c r="A43" s="11" t="inlineStr">
        <is>
          <t>Phasing</t>
        </is>
      </c>
      <c r="B43" s="12" t="n">
        <v>3</v>
      </c>
      <c r="C43" s="13">
        <f>IF($B$2=0,0,B43/$B$2)</f>
        <v/>
      </c>
      <c r="D43" s="14">
        <f>IF(B43=0,"n/a",$B$2/B43)</f>
        <v/>
      </c>
      <c r="E43" s="13">
        <f>IF($B$3=0,0,B43/$B$3)</f>
        <v/>
      </c>
      <c r="F43" s="14">
        <f>IF(B43=0,"n/a",$B$3/B43)</f>
        <v/>
      </c>
      <c r="G43" s="15" t="n"/>
      <c r="H43" s="16" t="n"/>
      <c r="I43" s="17">
        <f>IF(H43="","",IF(H43&lt;=1,"n/a",($B$2-B43)/(H43-1)))</f>
        <v/>
      </c>
    </row>
    <row r="44">
      <c r="A44" s="11" t="inlineStr">
        <is>
          <t>Poly Luminous</t>
        </is>
      </c>
      <c r="B44" s="12" t="n">
        <v>8</v>
      </c>
      <c r="C44" s="13">
        <f>IF($B$2=0,0,B44/$B$2)</f>
        <v/>
      </c>
      <c r="D44" s="14">
        <f>IF(B44=0,"n/a",$B$2/B44)</f>
        <v/>
      </c>
      <c r="E44" s="13">
        <f>IF($B$3=0,0,B44/$B$3)</f>
        <v/>
      </c>
      <c r="F44" s="14">
        <f>IF(B44=0,"n/a",$B$3/B44)</f>
        <v/>
      </c>
      <c r="G44" s="15" t="n"/>
      <c r="H44" s="16" t="n"/>
      <c r="I44" s="17">
        <f>IF(H44="","",IF(H44&lt;=1,"n/a",($B$2-B44)/(H44-1)))</f>
        <v/>
      </c>
    </row>
    <row r="45">
      <c r="A45" s="11" t="inlineStr">
        <is>
          <t>Poly Lizard</t>
        </is>
      </c>
      <c r="B45" s="12" t="n">
        <v>8</v>
      </c>
      <c r="C45" s="13">
        <f>IF($B$2=0,0,B45/$B$2)</f>
        <v/>
      </c>
      <c r="D45" s="14">
        <f>IF(B45=0,"n/a",$B$2/B45)</f>
        <v/>
      </c>
      <c r="E45" s="13">
        <f>IF($B$3=0,0,B45/$B$3)</f>
        <v/>
      </c>
      <c r="F45" s="14">
        <f>IF(B45=0,"n/a",$B$3/B45)</f>
        <v/>
      </c>
      <c r="G45" s="15" t="n"/>
      <c r="H45" s="16" t="n"/>
      <c r="I45" s="17">
        <f>IF(H45="","",IF(H45&lt;=1,"n/a",($B$2-B45)/(H45-1)))</f>
        <v/>
      </c>
    </row>
    <row r="46">
      <c r="A46" s="11" t="inlineStr">
        <is>
          <t>Poly Monkey</t>
        </is>
      </c>
      <c r="B46" s="12" t="n">
        <v>8</v>
      </c>
      <c r="C46" s="13">
        <f>IF($B$2=0,0,B46/$B$2)</f>
        <v/>
      </c>
      <c r="D46" s="14">
        <f>IF(B46=0,"n/a",$B$2/B46)</f>
        <v/>
      </c>
      <c r="E46" s="13">
        <f>IF($B$3=0,0,B46/$B$3)</f>
        <v/>
      </c>
      <c r="F46" s="14">
        <f>IF(B46=0,"n/a",$B$3/B46)</f>
        <v/>
      </c>
      <c r="G46" s="15" t="n"/>
      <c r="H46" s="16" t="n"/>
      <c r="I46" s="17">
        <f>IF(H46="","",IF(H46&lt;=1,"n/a",($B$2-B46)/(H46-1)))</f>
        <v/>
      </c>
    </row>
    <row r="47">
      <c r="A47" s="11" t="inlineStr">
        <is>
          <t>Portal</t>
        </is>
      </c>
      <c r="B47" s="12" t="n">
        <v>1</v>
      </c>
      <c r="C47" s="13">
        <f>IF($B$2=0,0,B47/$B$2)</f>
        <v/>
      </c>
      <c r="D47" s="14">
        <f>IF(B47=0,"n/a",$B$2/B47)</f>
        <v/>
      </c>
      <c r="E47" s="13">
        <f>IF($B$3=0,0,B47/$B$3)</f>
        <v/>
      </c>
      <c r="F47" s="14">
        <f>IF(B47=0,"n/a",$B$3/B47)</f>
        <v/>
      </c>
      <c r="G47" s="15" t="n"/>
      <c r="H47" s="16" t="n"/>
      <c r="I47" s="17">
        <f>IF(H47="","",IF(H47&lt;=1,"n/a",($B$2-B47)/(H47-1)))</f>
        <v/>
      </c>
    </row>
    <row r="48">
      <c r="A48" s="11" t="inlineStr">
        <is>
          <t>Potassium Wave</t>
        </is>
      </c>
      <c r="B48" s="12" t="n">
        <v>8</v>
      </c>
      <c r="C48" s="13">
        <f>IF($B$2=0,0,B48/$B$2)</f>
        <v/>
      </c>
      <c r="D48" s="14">
        <f>IF(B48=0,"n/a",$B$2/B48)</f>
        <v/>
      </c>
      <c r="E48" s="13">
        <f>IF($B$3=0,0,B48/$B$3)</f>
        <v/>
      </c>
      <c r="F48" s="14">
        <f>IF(B48=0,"n/a",$B$3/B48)</f>
        <v/>
      </c>
      <c r="G48" s="15" t="n"/>
      <c r="H48" s="16" t="n"/>
      <c r="I48" s="17">
        <f>IF(H48="","",IF(H48&lt;=1,"n/a",($B$2-B48)/(H48-1)))</f>
        <v/>
      </c>
    </row>
    <row r="49">
      <c r="A49" s="11" t="inlineStr">
        <is>
          <t>Puddle Rare</t>
        </is>
      </c>
      <c r="B49" s="12" t="n">
        <v>2</v>
      </c>
      <c r="C49" s="13">
        <f>IF($B$2=0,0,B49/$B$2)</f>
        <v/>
      </c>
      <c r="D49" s="14">
        <f>IF(B49=0,"n/a",$B$2/B49)</f>
        <v/>
      </c>
      <c r="E49" s="13">
        <f>IF($B$3=0,0,B49/$B$3)</f>
        <v/>
      </c>
      <c r="F49" s="14">
        <f>IF(B49=0,"n/a",$B$3/B49)</f>
        <v/>
      </c>
      <c r="G49" s="15" t="n"/>
      <c r="H49" s="16" t="n"/>
      <c r="I49" s="17">
        <f>IF(H49="","",IF(H49&lt;=1,"n/a",($B$2-B49)/(H49-1)))</f>
        <v/>
      </c>
    </row>
    <row r="50">
      <c r="A50" s="11" t="inlineStr">
        <is>
          <t>Radioactive</t>
        </is>
      </c>
      <c r="B50" s="12" t="n">
        <v>10</v>
      </c>
      <c r="C50" s="13">
        <f>IF($B$2=0,0,B50/$B$2)</f>
        <v/>
      </c>
      <c r="D50" s="14">
        <f>IF(B50=0,"n/a",$B$2/B50)</f>
        <v/>
      </c>
      <c r="E50" s="13">
        <f>IF($B$3=0,0,B50/$B$3)</f>
        <v/>
      </c>
      <c r="F50" s="14">
        <f>IF(B50=0,"n/a",$B$3/B50)</f>
        <v/>
      </c>
      <c r="G50" s="15" t="n"/>
      <c r="H50" s="16" t="n"/>
      <c r="I50" s="17">
        <f>IF(H50="","",IF(H50&lt;=1,"n/a",($B$2-B50)/(H50-1)))</f>
        <v/>
      </c>
    </row>
    <row r="51">
      <c r="A51" s="11" t="inlineStr">
        <is>
          <t>Radioactive Strong</t>
        </is>
      </c>
      <c r="B51" s="12" t="n">
        <v>8</v>
      </c>
      <c r="C51" s="13">
        <f>IF($B$2=0,0,B51/$B$2)</f>
        <v/>
      </c>
      <c r="D51" s="14">
        <f>IF(B51=0,"n/a",$B$2/B51)</f>
        <v/>
      </c>
      <c r="E51" s="13">
        <f>IF($B$3=0,0,B51/$B$3)</f>
        <v/>
      </c>
      <c r="F51" s="14">
        <f>IF(B51=0,"n/a",$B$3/B51)</f>
        <v/>
      </c>
      <c r="G51" s="15" t="n"/>
      <c r="H51" s="16" t="n"/>
      <c r="I51" s="17">
        <f>IF(H51="","",IF(H51&lt;=1,"n/a",($B$2-B51)/(H51-1)))</f>
        <v/>
      </c>
    </row>
    <row r="52">
      <c r="A52" s="11" t="inlineStr">
        <is>
          <t>Random Instrument Spawn</t>
        </is>
      </c>
      <c r="B52" s="12" t="n">
        <v>8</v>
      </c>
      <c r="C52" s="13">
        <f>IF($B$2=0,0,B52/$B$2)</f>
        <v/>
      </c>
      <c r="D52" s="14">
        <f>IF(B52=0,"n/a",$B$2/B52)</f>
        <v/>
      </c>
      <c r="E52" s="13">
        <f>IF($B$3=0,0,B52/$B$3)</f>
        <v/>
      </c>
      <c r="F52" s="14">
        <f>IF(B52=0,"n/a",$B$3/B52)</f>
        <v/>
      </c>
      <c r="G52" s="15" t="n"/>
      <c r="H52" s="16" t="n"/>
      <c r="I52" s="17">
        <f>IF(H52="","",IF(H52&lt;=1,"n/a",($B$2-B52)/(H52-1)))</f>
        <v/>
      </c>
    </row>
    <row r="53">
      <c r="A53" s="11" t="inlineStr">
        <is>
          <t>Shatter Windows</t>
        </is>
      </c>
      <c r="B53" s="12" t="n">
        <v>3</v>
      </c>
      <c r="C53" s="13">
        <f>IF($B$2=0,0,B53/$B$2)</f>
        <v/>
      </c>
      <c r="D53" s="14">
        <f>IF(B53=0,"n/a",$B$2/B53)</f>
        <v/>
      </c>
      <c r="E53" s="13">
        <f>IF($B$3=0,0,B53/$B$3)</f>
        <v/>
      </c>
      <c r="F53" s="14">
        <f>IF(B53=0,"n/a",$B$3/B53)</f>
        <v/>
      </c>
      <c r="G53" s="15" t="n"/>
      <c r="H53" s="16" t="n"/>
      <c r="I53" s="17">
        <f>IF(H53="","",IF(H53&lt;=1,"n/a",($B$2-B53)/(H53-1)))</f>
        <v/>
      </c>
    </row>
    <row r="54">
      <c r="A54" s="11" t="inlineStr">
        <is>
          <t>Shuffle</t>
        </is>
      </c>
      <c r="B54" s="12" t="n">
        <v>3</v>
      </c>
      <c r="C54" s="13">
        <f>IF($B$2=0,0,B54/$B$2)</f>
        <v/>
      </c>
      <c r="D54" s="14">
        <f>IF(B54=0,"n/a",$B$2/B54)</f>
        <v/>
      </c>
      <c r="E54" s="13">
        <f>IF($B$3=0,0,B54/$B$3)</f>
        <v/>
      </c>
      <c r="F54" s="14">
        <f>IF(B54=0,"n/a",$B$3/B54)</f>
        <v/>
      </c>
      <c r="G54" s="15" t="n"/>
      <c r="H54" s="16" t="n"/>
      <c r="I54" s="17">
        <f>IF(H54="","",IF(H54&lt;=1,"n/a",($B$2-B54)/(H54-1)))</f>
        <v/>
      </c>
    </row>
    <row r="55">
      <c r="A55" s="11" t="inlineStr">
        <is>
          <t>Solution Storage</t>
        </is>
      </c>
      <c r="B55" s="12" t="n">
        <v>10</v>
      </c>
      <c r="C55" s="13">
        <f>IF($B$2=0,0,B55/$B$2)</f>
        <v/>
      </c>
      <c r="D55" s="14">
        <f>IF(B55=0,"n/a",$B$2/B55)</f>
        <v/>
      </c>
      <c r="E55" s="13">
        <f>IF($B$3=0,0,B55/$B$3)</f>
        <v/>
      </c>
      <c r="F55" s="14">
        <f>IF(B55=0,"n/a",$B$3/B55)</f>
        <v/>
      </c>
      <c r="G55" s="15" t="n"/>
      <c r="H55" s="16" t="n"/>
      <c r="I55" s="17">
        <f>IF(H55="","",IF(H55&lt;=1,"n/a",($B$2-B55)/(H55-1)))</f>
        <v/>
      </c>
    </row>
    <row r="56">
      <c r="A56" s="11" t="inlineStr">
        <is>
          <t>Angry Carp Spawn</t>
        </is>
      </c>
      <c r="B56" s="12" t="n">
        <v>8</v>
      </c>
      <c r="C56" s="13">
        <f>IF($B$2=0,0,B56/$B$2)</f>
        <v/>
      </c>
      <c r="D56" s="14">
        <f>IF(B56=0,"n/a",$B$2/B56)</f>
        <v/>
      </c>
      <c r="E56" s="13">
        <f>IF($B$3=0,0,B56/$B$3)</f>
        <v/>
      </c>
      <c r="F56" s="14">
        <f>IF(B56=0,"n/a",$B$3/B56)</f>
        <v/>
      </c>
      <c r="G56" s="15" t="n"/>
      <c r="H56" s="16" t="n"/>
      <c r="I56" s="17">
        <f>IF(H56="","",IF(H56&lt;=1,"n/a",($B$2-B56)/(H56-1)))</f>
        <v/>
      </c>
    </row>
    <row r="57">
      <c r="A57" s="11" t="inlineStr">
        <is>
          <t>Material Spawn Glass Few</t>
        </is>
      </c>
      <c r="B57" s="12" t="n">
        <v>3</v>
      </c>
      <c r="C57" s="13">
        <f>IF($B$2=0,0,B57/$B$2)</f>
        <v/>
      </c>
      <c r="D57" s="14">
        <f>IF(B57=0,"n/a",$B$2/B57)</f>
        <v/>
      </c>
      <c r="E57" s="13">
        <f>IF($B$3=0,0,B57/$B$3)</f>
        <v/>
      </c>
      <c r="F57" s="14">
        <f>IF(B57=0,"n/a",$B$3/B57)</f>
        <v/>
      </c>
      <c r="G57" s="15" t="n"/>
      <c r="H57" s="16" t="n"/>
      <c r="I57" s="17">
        <f>IF(H57="","",IF(H57&lt;=1,"n/a",($B$2-B57)/(H57-1)))</f>
        <v/>
      </c>
    </row>
    <row r="58">
      <c r="A58" s="11" t="inlineStr">
        <is>
          <t>Material Spawn Glass Many</t>
        </is>
      </c>
      <c r="B58" s="12" t="n">
        <v>3</v>
      </c>
      <c r="C58" s="13">
        <f>IF($B$2=0,0,B58/$B$2)</f>
        <v/>
      </c>
      <c r="D58" s="14">
        <f>IF(B58=0,"n/a",$B$2/B58)</f>
        <v/>
      </c>
      <c r="E58" s="13">
        <f>IF($B$3=0,0,B58/$B$3)</f>
        <v/>
      </c>
      <c r="F58" s="14">
        <f>IF(B58=0,"n/a",$B$3/B58)</f>
        <v/>
      </c>
      <c r="G58" s="15" t="n"/>
      <c r="H58" s="16" t="n"/>
      <c r="I58" s="17">
        <f>IF(H58="","",IF(H58&lt;=1,"n/a",($B$2-B58)/(H58-1)))</f>
        <v/>
      </c>
    </row>
    <row r="59">
      <c r="A59" s="11" t="inlineStr">
        <is>
          <t>Material Spawn Glass Stack</t>
        </is>
      </c>
      <c r="B59" s="12" t="n">
        <v>1</v>
      </c>
      <c r="C59" s="13">
        <f>IF($B$2=0,0,B59/$B$2)</f>
        <v/>
      </c>
      <c r="D59" s="14">
        <f>IF(B59=0,"n/a",$B$2/B59)</f>
        <v/>
      </c>
      <c r="E59" s="13">
        <f>IF($B$3=0,0,B59/$B$3)</f>
        <v/>
      </c>
      <c r="F59" s="14">
        <f>IF(B59=0,"n/a",$B$3/B59)</f>
        <v/>
      </c>
      <c r="G59" s="15" t="n"/>
      <c r="H59" s="16" t="n"/>
      <c r="I59" s="17">
        <f>IF(H59="","",IF(H59&lt;=1,"n/a",($B$2-B59)/(H59-1)))</f>
        <v/>
      </c>
    </row>
    <row r="60">
      <c r="A60" s="11" t="inlineStr">
        <is>
          <t>Material Spawn Steel Few</t>
        </is>
      </c>
      <c r="B60" s="12" t="n">
        <v>3</v>
      </c>
      <c r="C60" s="13">
        <f>IF($B$2=0,0,B60/$B$2)</f>
        <v/>
      </c>
      <c r="D60" s="14">
        <f>IF(B60=0,"n/a",$B$2/B60)</f>
        <v/>
      </c>
      <c r="E60" s="13">
        <f>IF($B$3=0,0,B60/$B$3)</f>
        <v/>
      </c>
      <c r="F60" s="14">
        <f>IF(B60=0,"n/a",$B$3/B60)</f>
        <v/>
      </c>
      <c r="G60" s="15" t="n"/>
      <c r="H60" s="16" t="n"/>
      <c r="I60" s="17">
        <f>IF(H60="","",IF(H60&lt;=1,"n/a",($B$2-B60)/(H60-1)))</f>
        <v/>
      </c>
    </row>
    <row r="61">
      <c r="A61" s="11" t="inlineStr">
        <is>
          <t>Material Spawn Steel Many</t>
        </is>
      </c>
      <c r="B61" s="12" t="n">
        <v>3</v>
      </c>
      <c r="C61" s="13">
        <f>IF($B$2=0,0,B61/$B$2)</f>
        <v/>
      </c>
      <c r="D61" s="14">
        <f>IF(B61=0,"n/a",$B$2/B61)</f>
        <v/>
      </c>
      <c r="E61" s="13">
        <f>IF($B$3=0,0,B61/$B$3)</f>
        <v/>
      </c>
      <c r="F61" s="14">
        <f>IF(B61=0,"n/a",$B$3/B61)</f>
        <v/>
      </c>
      <c r="G61" s="15" t="n"/>
      <c r="H61" s="16" t="n"/>
      <c r="I61" s="17">
        <f>IF(H61="","",IF(H61&lt;=1,"n/a",($B$2-B61)/(H61-1)))</f>
        <v/>
      </c>
    </row>
    <row r="62">
      <c r="A62" s="11" t="inlineStr">
        <is>
          <t>Material Spawn Steel Stack</t>
        </is>
      </c>
      <c r="B62" s="12" t="n">
        <v>1</v>
      </c>
      <c r="C62" s="13">
        <f>IF($B$2=0,0,B62/$B$2)</f>
        <v/>
      </c>
      <c r="D62" s="14">
        <f>IF(B62=0,"n/a",$B$2/B62)</f>
        <v/>
      </c>
      <c r="E62" s="13">
        <f>IF($B$3=0,0,B62/$B$3)</f>
        <v/>
      </c>
      <c r="F62" s="14">
        <f>IF(B62=0,"n/a",$B$3/B62)</f>
        <v/>
      </c>
      <c r="G62" s="15" t="n"/>
      <c r="H62" s="16" t="n"/>
      <c r="I62" s="17">
        <f>IF(H62="","",IF(H62&lt;=1,"n/a",($B$2-B62)/(H62-1)))</f>
        <v/>
      </c>
    </row>
    <row r="63">
      <c r="A63" s="11" t="inlineStr">
        <is>
          <t>Material Spawn Plastic Few</t>
        </is>
      </c>
      <c r="B63" s="12" t="n">
        <v>3</v>
      </c>
      <c r="C63" s="13">
        <f>IF($B$2=0,0,B63/$B$2)</f>
        <v/>
      </c>
      <c r="D63" s="14">
        <f>IF(B63=0,"n/a",$B$2/B63)</f>
        <v/>
      </c>
      <c r="E63" s="13">
        <f>IF($B$3=0,0,B63/$B$3)</f>
        <v/>
      </c>
      <c r="F63" s="14">
        <f>IF(B63=0,"n/a",$B$3/B63)</f>
        <v/>
      </c>
      <c r="G63" s="15" t="n"/>
      <c r="H63" s="16" t="n"/>
      <c r="I63" s="17">
        <f>IF(H63="","",IF(H63&lt;=1,"n/a",($B$2-B63)/(H63-1)))</f>
        <v/>
      </c>
    </row>
    <row r="64">
      <c r="A64" s="11" t="inlineStr">
        <is>
          <t>Material Spawn Plastic Many</t>
        </is>
      </c>
      <c r="B64" s="12" t="n">
        <v>3</v>
      </c>
      <c r="C64" s="13">
        <f>IF($B$2=0,0,B64/$B$2)</f>
        <v/>
      </c>
      <c r="D64" s="14">
        <f>IF(B64=0,"n/a",$B$2/B64)</f>
        <v/>
      </c>
      <c r="E64" s="13">
        <f>IF($B$3=0,0,B64/$B$3)</f>
        <v/>
      </c>
      <c r="F64" s="14">
        <f>IF(B64=0,"n/a",$B$3/B64)</f>
        <v/>
      </c>
      <c r="G64" s="15" t="n"/>
      <c r="H64" s="16" t="n"/>
      <c r="I64" s="17">
        <f>IF(H64="","",IF(H64&lt;=1,"n/a",($B$2-B64)/(H64-1)))</f>
        <v/>
      </c>
    </row>
    <row r="65">
      <c r="A65" s="11" t="inlineStr">
        <is>
          <t>Material Spawn Plastic Stack</t>
        </is>
      </c>
      <c r="B65" s="12" t="n">
        <v>1</v>
      </c>
      <c r="C65" s="13">
        <f>IF($B$2=0,0,B65/$B$2)</f>
        <v/>
      </c>
      <c r="D65" s="14">
        <f>IF(B65=0,"n/a",$B$2/B65)</f>
        <v/>
      </c>
      <c r="E65" s="13">
        <f>IF($B$3=0,0,B65/$B$3)</f>
        <v/>
      </c>
      <c r="F65" s="14">
        <f>IF(B65=0,"n/a",$B$3/B65)</f>
        <v/>
      </c>
      <c r="G65" s="15" t="n"/>
      <c r="H65" s="16" t="n"/>
      <c r="I65" s="17">
        <f>IF(H65="","",IF(H65&lt;=1,"n/a",($B$2-B65)/(H65-1)))</f>
        <v/>
      </c>
    </row>
    <row r="66">
      <c r="A66" s="11" t="inlineStr">
        <is>
          <t>Raw Material Spawn Bananium Few</t>
        </is>
      </c>
      <c r="B66" s="12" t="n">
        <v>3</v>
      </c>
      <c r="C66" s="13">
        <f>IF($B$2=0,0,B66/$B$2)</f>
        <v/>
      </c>
      <c r="D66" s="14">
        <f>IF(B66=0,"n/a",$B$2/B66)</f>
        <v/>
      </c>
      <c r="E66" s="13">
        <f>IF($B$3=0,0,B66/$B$3)</f>
        <v/>
      </c>
      <c r="F66" s="14">
        <f>IF(B66=0,"n/a",$B$3/B66)</f>
        <v/>
      </c>
      <c r="G66" s="15" t="n"/>
      <c r="H66" s="16" t="n"/>
      <c r="I66" s="17">
        <f>IF(H66="","",IF(H66&lt;=1,"n/a",($B$2-B66)/(H66-1)))</f>
        <v/>
      </c>
    </row>
    <row r="67">
      <c r="A67" s="11" t="inlineStr">
        <is>
          <t>Raw Material Spawn Bananium More</t>
        </is>
      </c>
      <c r="B67" s="12" t="n">
        <v>2</v>
      </c>
      <c r="C67" s="13">
        <f>IF($B$2=0,0,B67/$B$2)</f>
        <v/>
      </c>
      <c r="D67" s="14">
        <f>IF(B67=0,"n/a",$B$2/B67)</f>
        <v/>
      </c>
      <c r="E67" s="13">
        <f>IF($B$3=0,0,B67/$B$3)</f>
        <v/>
      </c>
      <c r="F67" s="14">
        <f>IF(B67=0,"n/a",$B$3/B67)</f>
        <v/>
      </c>
      <c r="G67" s="15" t="n"/>
      <c r="H67" s="16" t="n"/>
      <c r="I67" s="17">
        <f>IF(H67="","",IF(H67&lt;=1,"n/a",($B$2-B67)/(H67-1)))</f>
        <v/>
      </c>
    </row>
    <row r="68">
      <c r="A68" s="11" t="inlineStr">
        <is>
          <t>Raw Material Spawn Bananium Many</t>
        </is>
      </c>
      <c r="B68" s="12" t="n">
        <v>3</v>
      </c>
      <c r="C68" s="13">
        <f>IF($B$2=0,0,B68/$B$2)</f>
        <v/>
      </c>
      <c r="D68" s="14">
        <f>IF(B68=0,"n/a",$B$2/B68)</f>
        <v/>
      </c>
      <c r="E68" s="13">
        <f>IF($B$3=0,0,B68/$B$3)</f>
        <v/>
      </c>
      <c r="F68" s="14">
        <f>IF(B68=0,"n/a",$B$3/B68)</f>
        <v/>
      </c>
      <c r="G68" s="15" t="n"/>
      <c r="H68" s="16" t="n"/>
      <c r="I68" s="17">
        <f>IF(H68="","",IF(H68&lt;=1,"n/a",($B$2-B68)/(H68-1)))</f>
        <v/>
      </c>
    </row>
    <row r="69">
      <c r="A69" s="11" t="inlineStr">
        <is>
          <t>Raw Material Spawn Gold Few</t>
        </is>
      </c>
      <c r="B69" s="12" t="n">
        <v>8</v>
      </c>
      <c r="C69" s="13">
        <f>IF($B$2=0,0,B69/$B$2)</f>
        <v/>
      </c>
      <c r="D69" s="14">
        <f>IF(B69=0,"n/a",$B$2/B69)</f>
        <v/>
      </c>
      <c r="E69" s="13">
        <f>IF($B$3=0,0,B69/$B$3)</f>
        <v/>
      </c>
      <c r="F69" s="14">
        <f>IF(B69=0,"n/a",$B$3/B69)</f>
        <v/>
      </c>
      <c r="G69" s="15" t="n"/>
      <c r="H69" s="16" t="n"/>
      <c r="I69" s="17">
        <f>IF(H69="","",IF(H69&lt;=1,"n/a",($B$2-B69)/(H69-1)))</f>
        <v/>
      </c>
    </row>
    <row r="70">
      <c r="A70" s="11" t="inlineStr">
        <is>
          <t>Raw Material Spawn Gold More</t>
        </is>
      </c>
      <c r="B70" s="12" t="n">
        <v>10</v>
      </c>
      <c r="C70" s="13">
        <f>IF($B$2=0,0,B70/$B$2)</f>
        <v/>
      </c>
      <c r="D70" s="14">
        <f>IF(B70=0,"n/a",$B$2/B70)</f>
        <v/>
      </c>
      <c r="E70" s="13">
        <f>IF($B$3=0,0,B70/$B$3)</f>
        <v/>
      </c>
      <c r="F70" s="14">
        <f>IF(B70=0,"n/a",$B$3/B70)</f>
        <v/>
      </c>
      <c r="G70" s="15" t="n"/>
      <c r="H70" s="16" t="n"/>
      <c r="I70" s="17">
        <f>IF(H70="","",IF(H70&lt;=1,"n/a",($B$2-B70)/(H70-1)))</f>
        <v/>
      </c>
    </row>
    <row r="71">
      <c r="A71" s="11" t="inlineStr">
        <is>
          <t>Raw Material Spawn Gold Many</t>
        </is>
      </c>
      <c r="B71" s="12" t="n">
        <v>1</v>
      </c>
      <c r="C71" s="13">
        <f>IF($B$2=0,0,B71/$B$2)</f>
        <v/>
      </c>
      <c r="D71" s="14">
        <f>IF(B71=0,"n/a",$B$2/B71)</f>
        <v/>
      </c>
      <c r="E71" s="13">
        <f>IF($B$3=0,0,B71/$B$3)</f>
        <v/>
      </c>
      <c r="F71" s="14">
        <f>IF(B71=0,"n/a",$B$3/B71)</f>
        <v/>
      </c>
      <c r="G71" s="15" t="n"/>
      <c r="H71" s="16" t="n"/>
      <c r="I71" s="17">
        <f>IF(H71="","",IF(H71&lt;=1,"n/a",($B$2-B71)/(H71-1)))</f>
        <v/>
      </c>
    </row>
    <row r="72">
      <c r="A72" s="11" t="inlineStr">
        <is>
          <t>Raw Material Spawn Plasma Few</t>
        </is>
      </c>
      <c r="B72" s="12" t="n">
        <v>8</v>
      </c>
      <c r="C72" s="13">
        <f>IF($B$2=0,0,B72/$B$2)</f>
        <v/>
      </c>
      <c r="D72" s="14">
        <f>IF(B72=0,"n/a",$B$2/B72)</f>
        <v/>
      </c>
      <c r="E72" s="13">
        <f>IF($B$3=0,0,B72/$B$3)</f>
        <v/>
      </c>
      <c r="F72" s="14">
        <f>IF(B72=0,"n/a",$B$3/B72)</f>
        <v/>
      </c>
      <c r="G72" s="15" t="n"/>
      <c r="H72" s="16" t="n"/>
      <c r="I72" s="17">
        <f>IF(H72="","",IF(H72&lt;=1,"n/a",($B$2-B72)/(H72-1)))</f>
        <v/>
      </c>
    </row>
    <row r="73">
      <c r="A73" s="11" t="inlineStr">
        <is>
          <t>Raw Material Spawn Plasma More</t>
        </is>
      </c>
      <c r="B73" s="12" t="n">
        <v>10</v>
      </c>
      <c r="C73" s="13">
        <f>IF($B$2=0,0,B73/$B$2)</f>
        <v/>
      </c>
      <c r="D73" s="14">
        <f>IF(B73=0,"n/a",$B$2/B73)</f>
        <v/>
      </c>
      <c r="E73" s="13">
        <f>IF($B$3=0,0,B73/$B$3)</f>
        <v/>
      </c>
      <c r="F73" s="14">
        <f>IF(B73=0,"n/a",$B$3/B73)</f>
        <v/>
      </c>
      <c r="G73" s="15" t="n"/>
      <c r="H73" s="16" t="n"/>
      <c r="I73" s="17">
        <f>IF(H73="","",IF(H73&lt;=1,"n/a",($B$2-B73)/(H73-1)))</f>
        <v/>
      </c>
    </row>
    <row r="74">
      <c r="A74" s="11" t="inlineStr">
        <is>
          <t>Raw Material Spawn Plasma Many</t>
        </is>
      </c>
      <c r="B74" s="12" t="n">
        <v>1</v>
      </c>
      <c r="C74" s="13">
        <f>IF($B$2=0,0,B74/$B$2)</f>
        <v/>
      </c>
      <c r="D74" s="14">
        <f>IF(B74=0,"n/a",$B$2/B74)</f>
        <v/>
      </c>
      <c r="E74" s="13">
        <f>IF($B$3=0,0,B74/$B$3)</f>
        <v/>
      </c>
      <c r="F74" s="14">
        <f>IF(B74=0,"n/a",$B$3/B74)</f>
        <v/>
      </c>
      <c r="G74" s="15" t="n"/>
      <c r="H74" s="16" t="n"/>
      <c r="I74" s="17">
        <f>IF(H74="","",IF(H74&lt;=1,"n/a",($B$2-B74)/(H74-1)))</f>
        <v/>
      </c>
    </row>
    <row r="75">
      <c r="A75" s="11" t="inlineStr">
        <is>
          <t>Raw Material Spawn Silver Few</t>
        </is>
      </c>
      <c r="B75" s="12" t="n">
        <v>8</v>
      </c>
      <c r="C75" s="13">
        <f>IF($B$2=0,0,B75/$B$2)</f>
        <v/>
      </c>
      <c r="D75" s="14">
        <f>IF(B75=0,"n/a",$B$2/B75)</f>
        <v/>
      </c>
      <c r="E75" s="13">
        <f>IF($B$3=0,0,B75/$B$3)</f>
        <v/>
      </c>
      <c r="F75" s="14">
        <f>IF(B75=0,"n/a",$B$3/B75)</f>
        <v/>
      </c>
      <c r="G75" s="15" t="n"/>
      <c r="H75" s="16" t="n"/>
      <c r="I75" s="17">
        <f>IF(H75="","",IF(H75&lt;=1,"n/a",($B$2-B75)/(H75-1)))</f>
        <v/>
      </c>
    </row>
    <row r="76">
      <c r="A76" s="11" t="inlineStr">
        <is>
          <t>Raw Material Spawn Silver More</t>
        </is>
      </c>
      <c r="B76" s="12" t="n">
        <v>10</v>
      </c>
      <c r="C76" s="13">
        <f>IF($B$2=0,0,B76/$B$2)</f>
        <v/>
      </c>
      <c r="D76" s="14">
        <f>IF(B76=0,"n/a",$B$2/B76)</f>
        <v/>
      </c>
      <c r="E76" s="13">
        <f>IF($B$3=0,0,B76/$B$3)</f>
        <v/>
      </c>
      <c r="F76" s="14">
        <f>IF(B76=0,"n/a",$B$3/B76)</f>
        <v/>
      </c>
      <c r="G76" s="15" t="n"/>
      <c r="H76" s="16" t="n"/>
      <c r="I76" s="17">
        <f>IF(H76="","",IF(H76&lt;=1,"n/a",($B$2-B76)/(H76-1)))</f>
        <v/>
      </c>
    </row>
    <row r="77">
      <c r="A77" s="11" t="inlineStr">
        <is>
          <t>Raw Material Spawn Silver Many</t>
        </is>
      </c>
      <c r="B77" s="12" t="n">
        <v>1</v>
      </c>
      <c r="C77" s="13">
        <f>IF($B$2=0,0,B77/$B$2)</f>
        <v/>
      </c>
      <c r="D77" s="14">
        <f>IF(B77=0,"n/a",$B$2/B77)</f>
        <v/>
      </c>
      <c r="E77" s="13">
        <f>IF($B$3=0,0,B77/$B$3)</f>
        <v/>
      </c>
      <c r="F77" s="14">
        <f>IF(B77=0,"n/a",$B$3/B77)</f>
        <v/>
      </c>
      <c r="G77" s="15" t="n"/>
      <c r="H77" s="16" t="n"/>
      <c r="I77" s="17">
        <f>IF(H77="","",IF(H77&lt;=1,"n/a",($B$2-B77)/(H77-1)))</f>
        <v/>
      </c>
    </row>
    <row r="78">
      <c r="A78" s="11" t="inlineStr">
        <is>
          <t>Raw Material Spawn Uranium Few</t>
        </is>
      </c>
      <c r="B78" s="12" t="n">
        <v>8</v>
      </c>
      <c r="C78" s="13">
        <f>IF($B$2=0,0,B78/$B$2)</f>
        <v/>
      </c>
      <c r="D78" s="14">
        <f>IF(B78=0,"n/a",$B$2/B78)</f>
        <v/>
      </c>
      <c r="E78" s="13">
        <f>IF($B$3=0,0,B78/$B$3)</f>
        <v/>
      </c>
      <c r="F78" s="14">
        <f>IF(B78=0,"n/a",$B$3/B78)</f>
        <v/>
      </c>
      <c r="G78" s="15" t="n"/>
      <c r="H78" s="16" t="n"/>
      <c r="I78" s="17">
        <f>IF(H78="","",IF(H78&lt;=1,"n/a",($B$2-B78)/(H78-1)))</f>
        <v/>
      </c>
    </row>
    <row r="79">
      <c r="A79" s="11" t="inlineStr">
        <is>
          <t>Raw Material Spawn Uranium More</t>
        </is>
      </c>
      <c r="B79" s="12" t="n">
        <v>10</v>
      </c>
      <c r="C79" s="13">
        <f>IF($B$2=0,0,B79/$B$2)</f>
        <v/>
      </c>
      <c r="D79" s="14">
        <f>IF(B79=0,"n/a",$B$2/B79)</f>
        <v/>
      </c>
      <c r="E79" s="13">
        <f>IF($B$3=0,0,B79/$B$3)</f>
        <v/>
      </c>
      <c r="F79" s="14">
        <f>IF(B79=0,"n/a",$B$3/B79)</f>
        <v/>
      </c>
      <c r="G79" s="15" t="n"/>
      <c r="H79" s="16" t="n"/>
      <c r="I79" s="17">
        <f>IF(H79="","",IF(H79&lt;=1,"n/a",($B$2-B79)/(H79-1)))</f>
        <v/>
      </c>
    </row>
    <row r="80">
      <c r="A80" s="11" t="inlineStr">
        <is>
          <t>Raw Material Spawn Uranium Many</t>
        </is>
      </c>
      <c r="B80" s="12" t="n">
        <v>1</v>
      </c>
      <c r="C80" s="13">
        <f>IF($B$2=0,0,B80/$B$2)</f>
        <v/>
      </c>
      <c r="D80" s="14">
        <f>IF(B80=0,"n/a",$B$2/B80)</f>
        <v/>
      </c>
      <c r="E80" s="13">
        <f>IF($B$3=0,0,B80/$B$3)</f>
        <v/>
      </c>
      <c r="F80" s="14">
        <f>IF(B80=0,"n/a",$B$3/B80)</f>
        <v/>
      </c>
      <c r="G80" s="15" t="n"/>
      <c r="H80" s="16" t="n"/>
      <c r="I80" s="17">
        <f>IF(H80="","",IF(H80&lt;=1,"n/a",($B$2-B80)/(H80-1)))</f>
        <v/>
      </c>
    </row>
    <row r="81">
      <c r="A81" s="11" t="inlineStr">
        <is>
          <t>Stealth</t>
        </is>
      </c>
      <c r="B81" s="12" t="n">
        <v>3</v>
      </c>
      <c r="C81" s="13">
        <f>IF($B$2=0,0,B81/$B$2)</f>
        <v/>
      </c>
      <c r="D81" s="14">
        <f>IF(B81=0,"n/a",$B$2/B81)</f>
        <v/>
      </c>
      <c r="E81" s="13">
        <f>IF($B$3=0,0,B81/$B$3)</f>
        <v/>
      </c>
      <c r="F81" s="14">
        <f>IF(B81=0,"n/a",$B$3/B81)</f>
        <v/>
      </c>
      <c r="G81" s="15" t="n"/>
      <c r="H81" s="16" t="n"/>
      <c r="I81" s="17">
        <f>IF(H81="","",IF(H81&lt;=1,"n/a",($B$2-B81)/(H81-1)))</f>
        <v/>
      </c>
    </row>
    <row r="82">
      <c r="A82" s="11" t="inlineStr">
        <is>
          <t>Teleport</t>
        </is>
      </c>
      <c r="B82" s="12" t="n">
        <v>3</v>
      </c>
      <c r="C82" s="13">
        <f>IF($B$2=0,0,B82/$B$2)</f>
        <v/>
      </c>
      <c r="D82" s="14">
        <f>IF(B82=0,"n/a",$B$2/B82)</f>
        <v/>
      </c>
      <c r="E82" s="13">
        <f>IF($B$3=0,0,B82/$B$3)</f>
        <v/>
      </c>
      <c r="F82" s="14">
        <f>IF(B82=0,"n/a",$B$3/B82)</f>
        <v/>
      </c>
      <c r="G82" s="15" t="n"/>
      <c r="H82" s="16" t="n"/>
      <c r="I82" s="17">
        <f>IF(H82="","",IF(H82&lt;=1,"n/a",($B$2-B82)/(H82-1)))</f>
        <v/>
      </c>
    </row>
    <row r="83">
      <c r="A83" s="11" t="inlineStr">
        <is>
          <t>Throw Things Around</t>
        </is>
      </c>
      <c r="B83" s="12" t="n">
        <v>3</v>
      </c>
      <c r="C83" s="13">
        <f>IF($B$2=0,0,B83/$B$2)</f>
        <v/>
      </c>
      <c r="D83" s="14">
        <f>IF(B83=0,"n/a",$B$2/B83)</f>
        <v/>
      </c>
      <c r="E83" s="13">
        <f>IF($B$3=0,0,B83/$B$3)</f>
        <v/>
      </c>
      <c r="F83" s="14">
        <f>IF(B83=0,"n/a",$B$3/B83)</f>
        <v/>
      </c>
      <c r="G83" s="15" t="n"/>
      <c r="H83" s="16" t="n"/>
      <c r="I83" s="17">
        <f>IF(H83="","",IF(H83&lt;=1,"n/a",($B$2-B83)/(H83-1)))</f>
        <v/>
      </c>
    </row>
    <row r="84">
      <c r="A84" s="11" t="inlineStr">
        <is>
          <t>Wandering</t>
        </is>
      </c>
      <c r="B84" s="12" t="n">
        <v>8</v>
      </c>
      <c r="C84" s="13">
        <f>IF($B$2=0,0,B84/$B$2)</f>
        <v/>
      </c>
      <c r="D84" s="14">
        <f>IF(B84=0,"n/a",$B$2/B84)</f>
        <v/>
      </c>
      <c r="E84" s="13">
        <f>IF($B$3=0,0,B84/$B$3)</f>
        <v/>
      </c>
      <c r="F84" s="14">
        <f>IF(B84=0,"n/a",$B$3/B84)</f>
        <v/>
      </c>
      <c r="G84" s="15" t="n"/>
      <c r="H84" s="16" t="n"/>
      <c r="I84" s="17">
        <f>IF(H84="","",IF(H84&lt;=1,"n/a",($B$2-B84)/(H84-1)))</f>
        <v/>
      </c>
    </row>
    <row r="85">
      <c r="A85" s="18" t="inlineStr">
        <is>
          <t>Speed Up</t>
        </is>
      </c>
      <c r="B85" s="12" t="n">
        <v>10</v>
      </c>
      <c r="C85" s="19" t="inlineStr">
        <is>
          <t>—</t>
        </is>
      </c>
      <c r="D85" s="19" t="inlineStr">
        <is>
          <t>—</t>
        </is>
      </c>
      <c r="E85" s="13">
        <f>IF($B$3=0,0,B85/$B$3)</f>
        <v/>
      </c>
      <c r="F85" s="14">
        <f>IF(B85=0,"n/a",$B$3/B85)</f>
        <v/>
      </c>
      <c r="G85" s="15" t="n"/>
      <c r="H85" s="16" t="n"/>
      <c r="I85" s="17">
        <f>IF(H85="","",IF(H85&lt;=1,"n/a",($B$3-B85)/(H85-1)))</f>
        <v/>
      </c>
    </row>
    <row r="86">
      <c r="A86" s="18" t="inlineStr">
        <is>
          <t>Tool Crowbar</t>
        </is>
      </c>
      <c r="B86" s="12" t="n">
        <v>3</v>
      </c>
      <c r="C86" s="19" t="inlineStr">
        <is>
          <t>—</t>
        </is>
      </c>
      <c r="D86" s="19" t="inlineStr">
        <is>
          <t>—</t>
        </is>
      </c>
      <c r="E86" s="13">
        <f>IF($B$3=0,0,B86/$B$3)</f>
        <v/>
      </c>
      <c r="F86" s="14">
        <f>IF(B86=0,"n/a",$B$3/B86)</f>
        <v/>
      </c>
      <c r="G86" s="15" t="n"/>
      <c r="H86" s="16" t="n"/>
      <c r="I86" s="17">
        <f>IF(H86="","",IF(H86&lt;=1,"n/a",($B$3-B86)/(H86-1)))</f>
        <v/>
      </c>
    </row>
    <row r="87">
      <c r="A87" s="18" t="inlineStr">
        <is>
          <t>Tool Screwdriver</t>
        </is>
      </c>
      <c r="B87" s="12" t="n">
        <v>3</v>
      </c>
      <c r="C87" s="19" t="inlineStr">
        <is>
          <t>—</t>
        </is>
      </c>
      <c r="D87" s="19" t="inlineStr">
        <is>
          <t>—</t>
        </is>
      </c>
      <c r="E87" s="13">
        <f>IF($B$3=0,0,B87/$B$3)</f>
        <v/>
      </c>
      <c r="F87" s="14">
        <f>IF(B87=0,"n/a",$B$3/B87)</f>
        <v/>
      </c>
      <c r="G87" s="15" t="n"/>
      <c r="H87" s="16" t="n"/>
      <c r="I87" s="17">
        <f>IF(H87="","",IF(H87&lt;=1,"n/a",($B$3-B87)/(H87-1)))</f>
        <v/>
      </c>
    </row>
    <row r="88">
      <c r="A88" s="18" t="inlineStr">
        <is>
          <t>Tool Wrench</t>
        </is>
      </c>
      <c r="B88" s="12" t="n">
        <v>3</v>
      </c>
      <c r="C88" s="19" t="inlineStr">
        <is>
          <t>—</t>
        </is>
      </c>
      <c r="D88" s="19" t="inlineStr">
        <is>
          <t>—</t>
        </is>
      </c>
      <c r="E88" s="13">
        <f>IF($B$3=0,0,B88/$B$3)</f>
        <v/>
      </c>
      <c r="F88" s="14">
        <f>IF(B88=0,"n/a",$B$3/B88)</f>
        <v/>
      </c>
      <c r="G88" s="15" t="n"/>
      <c r="H88" s="16" t="n"/>
      <c r="I88" s="17">
        <f>IF(H88="","",IF(H88&lt;=1,"n/a",($B$3-B88)/(H88-1)))</f>
        <v/>
      </c>
    </row>
    <row r="89">
      <c r="A89" s="18" t="inlineStr">
        <is>
          <t>Tool Wirecutter</t>
        </is>
      </c>
      <c r="B89" s="12" t="n">
        <v>3</v>
      </c>
      <c r="C89" s="19" t="inlineStr">
        <is>
          <t>—</t>
        </is>
      </c>
      <c r="D89" s="19" t="inlineStr">
        <is>
          <t>—</t>
        </is>
      </c>
      <c r="E89" s="13">
        <f>IF($B$3=0,0,B89/$B$3)</f>
        <v/>
      </c>
      <c r="F89" s="14">
        <f>IF(B89=0,"n/a",$B$3/B89)</f>
        <v/>
      </c>
      <c r="G89" s="15" t="n"/>
      <c r="H89" s="16" t="n"/>
      <c r="I89" s="17">
        <f>IF(H89="","",IF(H89&lt;=1,"n/a",($B$3-B89)/(H89-1)))</f>
        <v/>
      </c>
    </row>
    <row r="90">
      <c r="A90" s="18" t="inlineStr">
        <is>
          <t>Tool Jaws</t>
        </is>
      </c>
      <c r="B90" s="12" t="n">
        <v>3</v>
      </c>
      <c r="C90" s="19" t="inlineStr">
        <is>
          <t>—</t>
        </is>
      </c>
      <c r="D90" s="19" t="inlineStr">
        <is>
          <t>—</t>
        </is>
      </c>
      <c r="E90" s="13">
        <f>IF($B$3=0,0,B90/$B$3)</f>
        <v/>
      </c>
      <c r="F90" s="14">
        <f>IF(B90=0,"n/a",$B$3/B90)</f>
        <v/>
      </c>
      <c r="G90" s="15" t="n"/>
      <c r="H90" s="16" t="n"/>
      <c r="I90" s="17">
        <f>IF(H90="","",IF(H90&lt;=1,"n/a",($B$3-B90)/(H90-1)))</f>
        <v/>
      </c>
    </row>
    <row r="91">
      <c r="A91" s="18" t="inlineStr">
        <is>
          <t>Tool Power Drill</t>
        </is>
      </c>
      <c r="B91" s="12" t="n">
        <v>3</v>
      </c>
      <c r="C91" s="19" t="inlineStr">
        <is>
          <t>—</t>
        </is>
      </c>
      <c r="D91" s="19" t="inlineStr">
        <is>
          <t>—</t>
        </is>
      </c>
      <c r="E91" s="13">
        <f>IF($B$3=0,0,B91/$B$3)</f>
        <v/>
      </c>
      <c r="F91" s="14">
        <f>IF(B91=0,"n/a",$B$3/B91)</f>
        <v/>
      </c>
      <c r="G91" s="15" t="n"/>
      <c r="H91" s="16" t="n"/>
      <c r="I91" s="17">
        <f>IF(H91="","",IF(H91&lt;=1,"n/a",($B$3-B91)/(H91-1)))</f>
        <v/>
      </c>
    </row>
    <row r="92">
      <c r="A92" s="18" t="inlineStr">
        <is>
          <t>Tool Knife</t>
        </is>
      </c>
      <c r="B92" s="12" t="n">
        <v>2</v>
      </c>
      <c r="C92" s="19" t="inlineStr">
        <is>
          <t>—</t>
        </is>
      </c>
      <c r="D92" s="19" t="inlineStr">
        <is>
          <t>—</t>
        </is>
      </c>
      <c r="E92" s="13">
        <f>IF($B$3=0,0,B92/$B$3)</f>
        <v/>
      </c>
      <c r="F92" s="14">
        <f>IF(B92=0,"n/a",$B$3/B92)</f>
        <v/>
      </c>
      <c r="G92" s="15" t="n"/>
      <c r="H92" s="16" t="n"/>
      <c r="I92" s="17">
        <f>IF(H92="","",IF(H92&lt;=1,"n/a",($B$3-B92)/(H92-1)))</f>
        <v/>
      </c>
    </row>
    <row r="93">
      <c r="A93" s="18" t="inlineStr">
        <is>
          <t>Omnitool</t>
        </is>
      </c>
      <c r="B93" s="12" t="n">
        <v>2</v>
      </c>
      <c r="C93" s="19" t="inlineStr">
        <is>
          <t>—</t>
        </is>
      </c>
      <c r="D93" s="19" t="inlineStr">
        <is>
          <t>—</t>
        </is>
      </c>
      <c r="E93" s="13">
        <f>IF($B$3=0,0,B93/$B$3)</f>
        <v/>
      </c>
      <c r="F93" s="14">
        <f>IF(B93=0,"n/a",$B$3/B93)</f>
        <v/>
      </c>
      <c r="G93" s="15" t="n"/>
      <c r="H93" s="16" t="n"/>
      <c r="I93" s="17">
        <f>IF(H93="","",IF(H93&lt;=1,"n/a",($B$3-B93)/(H93-1)))</f>
        <v/>
      </c>
    </row>
    <row r="94">
      <c r="A94" s="18" t="inlineStr">
        <is>
          <t>Tool Drill</t>
        </is>
      </c>
      <c r="B94" s="12" t="n">
        <v>5</v>
      </c>
      <c r="C94" s="19" t="inlineStr">
        <is>
          <t>—</t>
        </is>
      </c>
      <c r="D94" s="19" t="inlineStr">
        <is>
          <t>—</t>
        </is>
      </c>
      <c r="E94" s="13">
        <f>IF($B$3=0,0,B94/$B$3)</f>
        <v/>
      </c>
      <c r="F94" s="14">
        <f>IF(B94=0,"n/a",$B$3/B94)</f>
        <v/>
      </c>
      <c r="G94" s="15" t="n"/>
      <c r="H94" s="16" t="n"/>
      <c r="I94" s="17">
        <f>IF(H94="","",IF(H94&lt;=1,"n/a",($B$3-B94)/(H94-1)))</f>
        <v/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3" customWidth="1" min="7" max="7"/>
    <col width="13" customWidth="1" min="8" max="8"/>
    <col width="15" customWidth="1" min="9" max="9"/>
  </cols>
  <sheetData>
    <row r="1" ht="24" customHeight="1">
      <c r="A1" s="6" t="inlineStr">
        <is>
          <t>Deep  —  Depth 3+  (deep nodes)</t>
        </is>
      </c>
    </row>
    <row r="2">
      <c r="A2" s="7" t="inlineStr">
        <is>
          <t>Big/structure pool total (core):</t>
        </is>
      </c>
      <c r="B2" s="8">
        <f>SUM(B6:B84)</f>
        <v/>
      </c>
      <c r="D2" s="9" t="inlineStr">
        <is>
          <t>&lt;- set the core table's nesting weight in effect_tables.yml to this</t>
        </is>
      </c>
    </row>
    <row r="3">
      <c r="A3" s="7" t="inlineStr">
        <is>
          <t>Hand-sized pool total (core+tools):</t>
        </is>
      </c>
      <c r="B3" s="8">
        <f>SUM(B6:B94)</f>
        <v/>
      </c>
    </row>
    <row r="5">
      <c r="A5" s="10" t="inlineStr">
        <is>
          <t>Effect</t>
        </is>
      </c>
      <c r="B5" s="10" t="inlineStr">
        <is>
          <t>Weight</t>
        </is>
      </c>
      <c r="C5" s="10" t="inlineStr">
        <is>
          <t>% big</t>
        </is>
      </c>
      <c r="D5" s="10" t="inlineStr">
        <is>
          <t>1 in X (big)</t>
        </is>
      </c>
      <c r="E5" s="10" t="inlineStr">
        <is>
          <t>% hand</t>
        </is>
      </c>
      <c r="F5" s="10" t="inlineStr">
        <is>
          <t>1 in X (hand)</t>
        </is>
      </c>
      <c r="G5" t="inlineStr"/>
      <c r="H5" s="10" t="inlineStr">
        <is>
          <t>Target 1 in X</t>
        </is>
      </c>
      <c r="I5" s="10" t="inlineStr">
        <is>
          <t>Suggested weight</t>
        </is>
      </c>
    </row>
    <row r="6">
      <c r="A6" s="11" t="inlineStr">
        <is>
          <t>Anomaly Spawn</t>
        </is>
      </c>
      <c r="B6" s="12" t="n">
        <v>3</v>
      </c>
      <c r="C6" s="13">
        <f>IF($B$2=0,0,B6/$B$2)</f>
        <v/>
      </c>
      <c r="D6" s="14">
        <f>IF(B6=0,"n/a",$B$2/B6)</f>
        <v/>
      </c>
      <c r="E6" s="13">
        <f>IF($B$3=0,0,B6/$B$3)</f>
        <v/>
      </c>
      <c r="F6" s="14">
        <f>IF(B6=0,"n/a",$B$3/B6)</f>
        <v/>
      </c>
      <c r="G6" s="15" t="n"/>
      <c r="H6" s="16" t="n"/>
      <c r="I6" s="17">
        <f>IF(H6="","",IF(H6&lt;=1,"n/a",($B$2-B6)/(H6-1)))</f>
        <v/>
      </c>
    </row>
    <row r="7">
      <c r="A7" s="11" t="inlineStr">
        <is>
          <t>Artifact Spawn</t>
        </is>
      </c>
      <c r="B7" s="12" t="n">
        <v>3</v>
      </c>
      <c r="C7" s="13">
        <f>IF($B$2=0,0,B7/$B$2)</f>
        <v/>
      </c>
      <c r="D7" s="14">
        <f>IF(B7=0,"n/a",$B$2/B7)</f>
        <v/>
      </c>
      <c r="E7" s="13">
        <f>IF($B$3=0,0,B7/$B$3)</f>
        <v/>
      </c>
      <c r="F7" s="14">
        <f>IF(B7=0,"n/a",$B$3/B7)</f>
        <v/>
      </c>
      <c r="G7" s="15" t="n"/>
      <c r="H7" s="16" t="n"/>
      <c r="I7" s="17">
        <f>IF(H7="","",IF(H7&lt;=1,"n/a",($B$2-B7)/(H7-1)))</f>
        <v/>
      </c>
    </row>
    <row r="8">
      <c r="A8" s="11" t="inlineStr">
        <is>
          <t>Bad Feeling</t>
        </is>
      </c>
      <c r="B8" s="12" t="n">
        <v>1</v>
      </c>
      <c r="C8" s="13">
        <f>IF($B$2=0,0,B8/$B$2)</f>
        <v/>
      </c>
      <c r="D8" s="14">
        <f>IF(B8=0,"n/a",$B$2/B8)</f>
        <v/>
      </c>
      <c r="E8" s="13">
        <f>IF($B$3=0,0,B8/$B$3)</f>
        <v/>
      </c>
      <c r="F8" s="14">
        <f>IF(B8=0,"n/a",$B$3/B8)</f>
        <v/>
      </c>
      <c r="G8" s="15" t="n"/>
      <c r="H8" s="16" t="n"/>
      <c r="I8" s="17">
        <f>IF(H8="","",IF(H8&lt;=1,"n/a",($B$2-B8)/(H8-1)))</f>
        <v/>
      </c>
    </row>
    <row r="9">
      <c r="A9" s="11" t="inlineStr">
        <is>
          <t>Boom</t>
        </is>
      </c>
      <c r="B9" s="12" t="n">
        <v>3</v>
      </c>
      <c r="C9" s="13">
        <f>IF($B$2=0,0,B9/$B$2)</f>
        <v/>
      </c>
      <c r="D9" s="14">
        <f>IF(B9=0,"n/a",$B$2/B9)</f>
        <v/>
      </c>
      <c r="E9" s="13">
        <f>IF($B$3=0,0,B9/$B$3)</f>
        <v/>
      </c>
      <c r="F9" s="14">
        <f>IF(B9=0,"n/a",$B$3/B9)</f>
        <v/>
      </c>
      <c r="G9" s="15" t="n"/>
      <c r="H9" s="16" t="n"/>
      <c r="I9" s="17">
        <f>IF(H9="","",IF(H9&lt;=1,"n/a",($B$2-B9)/(H9-1)))</f>
        <v/>
      </c>
    </row>
    <row r="10">
      <c r="A10" s="11" t="inlineStr">
        <is>
          <t>Cash Spawn</t>
        </is>
      </c>
      <c r="B10" s="12" t="n">
        <v>3</v>
      </c>
      <c r="C10" s="13">
        <f>IF($B$2=0,0,B10/$B$2)</f>
        <v/>
      </c>
      <c r="D10" s="14">
        <f>IF(B10=0,"n/a",$B$2/B10)</f>
        <v/>
      </c>
      <c r="E10" s="13">
        <f>IF($B$3=0,0,B10/$B$3)</f>
        <v/>
      </c>
      <c r="F10" s="14">
        <f>IF(B10=0,"n/a",$B$3/B10)</f>
        <v/>
      </c>
      <c r="G10" s="15" t="n"/>
      <c r="H10" s="16" t="n"/>
      <c r="I10" s="17">
        <f>IF(H10="","",IF(H10&lt;=1,"n/a",($B$2-B10)/(H10-1)))</f>
        <v/>
      </c>
    </row>
    <row r="11">
      <c r="A11" s="11" t="inlineStr">
        <is>
          <t>Old Cash Spawn</t>
        </is>
      </c>
      <c r="B11" s="12" t="n">
        <v>0</v>
      </c>
      <c r="C11" s="13">
        <f>IF($B$2=0,0,B11/$B$2)</f>
        <v/>
      </c>
      <c r="D11" s="14">
        <f>IF(B11=0,"n/a",$B$2/B11)</f>
        <v/>
      </c>
      <c r="E11" s="13">
        <f>IF($B$3=0,0,B11/$B$3)</f>
        <v/>
      </c>
      <c r="F11" s="14">
        <f>IF(B11=0,"n/a",$B$3/B11)</f>
        <v/>
      </c>
      <c r="G11" s="15" t="n"/>
      <c r="H11" s="16" t="n"/>
      <c r="I11" s="17">
        <f>IF(H11="","",IF(H11&lt;=1,"n/a",($B$2-B11)/(H11-1)))</f>
        <v/>
      </c>
    </row>
    <row r="12">
      <c r="A12" s="11" t="inlineStr">
        <is>
          <t>Charge Battery Low</t>
        </is>
      </c>
      <c r="B12" s="12" t="n">
        <v>0</v>
      </c>
      <c r="C12" s="13">
        <f>IF($B$2=0,0,B12/$B$2)</f>
        <v/>
      </c>
      <c r="D12" s="14">
        <f>IF(B12=0,"n/a",$B$2/B12)</f>
        <v/>
      </c>
      <c r="E12" s="13">
        <f>IF($B$3=0,0,B12/$B$3)</f>
        <v/>
      </c>
      <c r="F12" s="14">
        <f>IF(B12=0,"n/a",$B$3/B12)</f>
        <v/>
      </c>
      <c r="G12" s="15" t="n"/>
      <c r="H12" s="16" t="n"/>
      <c r="I12" s="17">
        <f>IF(H12="","",IF(H12&lt;=1,"n/a",($B$2-B12)/(H12-1)))</f>
        <v/>
      </c>
    </row>
    <row r="13">
      <c r="A13" s="11" t="inlineStr">
        <is>
          <t>Charge Battery</t>
        </is>
      </c>
      <c r="B13" s="12" t="n">
        <v>10</v>
      </c>
      <c r="C13" s="13">
        <f>IF($B$2=0,0,B13/$B$2)</f>
        <v/>
      </c>
      <c r="D13" s="14">
        <f>IF(B13=0,"n/a",$B$2/B13)</f>
        <v/>
      </c>
      <c r="E13" s="13">
        <f>IF($B$3=0,0,B13/$B$3)</f>
        <v/>
      </c>
      <c r="F13" s="14">
        <f>IF(B13=0,"n/a",$B$3/B13)</f>
        <v/>
      </c>
      <c r="G13" s="15" t="n"/>
      <c r="H13" s="16" t="n"/>
      <c r="I13" s="17">
        <f>IF(H13="","",IF(H13&lt;=1,"n/a",($B$2-B13)/(H13-1)))</f>
        <v/>
      </c>
    </row>
    <row r="14">
      <c r="A14" s="11" t="inlineStr">
        <is>
          <t>Chemical Puddle</t>
        </is>
      </c>
      <c r="B14" s="12" t="n">
        <v>10</v>
      </c>
      <c r="C14" s="13">
        <f>IF($B$2=0,0,B14/$B$2)</f>
        <v/>
      </c>
      <c r="D14" s="14">
        <f>IF(B14=0,"n/a",$B$2/B14)</f>
        <v/>
      </c>
      <c r="E14" s="13">
        <f>IF($B$3=0,0,B14/$B$3)</f>
        <v/>
      </c>
      <c r="F14" s="14">
        <f>IF(B14=0,"n/a",$B$3/B14)</f>
        <v/>
      </c>
      <c r="G14" s="15" t="n"/>
      <c r="H14" s="16" t="n"/>
      <c r="I14" s="17">
        <f>IF(H14="","",IF(H14&lt;=1,"n/a",($B$2-B14)/(H14-1)))</f>
        <v/>
      </c>
    </row>
    <row r="15">
      <c r="A15" s="11" t="inlineStr">
        <is>
          <t>Cold Wave</t>
        </is>
      </c>
      <c r="B15" s="12" t="n">
        <v>8</v>
      </c>
      <c r="C15" s="13">
        <f>IF($B$2=0,0,B15/$B$2)</f>
        <v/>
      </c>
      <c r="D15" s="14">
        <f>IF(B15=0,"n/a",$B$2/B15)</f>
        <v/>
      </c>
      <c r="E15" s="13">
        <f>IF($B$3=0,0,B15/$B$3)</f>
        <v/>
      </c>
      <c r="F15" s="14">
        <f>IF(B15=0,"n/a",$B$3/B15)</f>
        <v/>
      </c>
      <c r="G15" s="15" t="n"/>
      <c r="H15" s="16" t="n"/>
      <c r="I15" s="17">
        <f>IF(H15="","",IF(H15&lt;=1,"n/a",($B$2-B15)/(H15-1)))</f>
        <v/>
      </c>
    </row>
    <row r="16">
      <c r="A16" s="11" t="inlineStr">
        <is>
          <t>Creation Gas Ammonia</t>
        </is>
      </c>
      <c r="B16" s="12" t="n">
        <v>3</v>
      </c>
      <c r="C16" s="13">
        <f>IF($B$2=0,0,B16/$B$2)</f>
        <v/>
      </c>
      <c r="D16" s="14">
        <f>IF(B16=0,"n/a",$B$2/B16)</f>
        <v/>
      </c>
      <c r="E16" s="13">
        <f>IF($B$3=0,0,B16/$B$3)</f>
        <v/>
      </c>
      <c r="F16" s="14">
        <f>IF(B16=0,"n/a",$B$3/B16)</f>
        <v/>
      </c>
      <c r="G16" s="15" t="n"/>
      <c r="H16" s="16" t="n"/>
      <c r="I16" s="17">
        <f>IF(H16="","",IF(H16&lt;=1,"n/a",($B$2-B16)/(H16-1)))</f>
        <v/>
      </c>
    </row>
    <row r="17">
      <c r="A17" s="11" t="inlineStr">
        <is>
          <t>Creation Gas Carbon Dioxide</t>
        </is>
      </c>
      <c r="B17" s="12" t="n">
        <v>3</v>
      </c>
      <c r="C17" s="13">
        <f>IF($B$2=0,0,B17/$B$2)</f>
        <v/>
      </c>
      <c r="D17" s="14">
        <f>IF(B17=0,"n/a",$B$2/B17)</f>
        <v/>
      </c>
      <c r="E17" s="13">
        <f>IF($B$3=0,0,B17/$B$3)</f>
        <v/>
      </c>
      <c r="F17" s="14">
        <f>IF(B17=0,"n/a",$B$3/B17)</f>
        <v/>
      </c>
      <c r="G17" s="15" t="n"/>
      <c r="H17" s="16" t="n"/>
      <c r="I17" s="17">
        <f>IF(H17="","",IF(H17&lt;=1,"n/a",($B$2-B17)/(H17-1)))</f>
        <v/>
      </c>
    </row>
    <row r="18">
      <c r="A18" s="11" t="inlineStr">
        <is>
          <t>Creation Gas Frezon</t>
        </is>
      </c>
      <c r="B18" s="12" t="n">
        <v>10</v>
      </c>
      <c r="C18" s="13">
        <f>IF($B$2=0,0,B18/$B$2)</f>
        <v/>
      </c>
      <c r="D18" s="14">
        <f>IF(B18=0,"n/a",$B$2/B18)</f>
        <v/>
      </c>
      <c r="E18" s="13">
        <f>IF($B$3=0,0,B18/$B$3)</f>
        <v/>
      </c>
      <c r="F18" s="14">
        <f>IF(B18=0,"n/a",$B$3/B18)</f>
        <v/>
      </c>
      <c r="G18" s="15" t="n"/>
      <c r="H18" s="16" t="n"/>
      <c r="I18" s="17">
        <f>IF(H18="","",IF(H18&lt;=1,"n/a",($B$2-B18)/(H18-1)))</f>
        <v/>
      </c>
    </row>
    <row r="19">
      <c r="A19" s="11" t="inlineStr">
        <is>
          <t>Creation Gas Nitrous Oxide</t>
        </is>
      </c>
      <c r="B19" s="12" t="n">
        <v>3</v>
      </c>
      <c r="C19" s="13">
        <f>IF($B$2=0,0,B19/$B$2)</f>
        <v/>
      </c>
      <c r="D19" s="14">
        <f>IF(B19=0,"n/a",$B$2/B19)</f>
        <v/>
      </c>
      <c r="E19" s="13">
        <f>IF($B$3=0,0,B19/$B$3)</f>
        <v/>
      </c>
      <c r="F19" s="14">
        <f>IF(B19=0,"n/a",$B$3/B19)</f>
        <v/>
      </c>
      <c r="G19" s="15" t="n"/>
      <c r="H19" s="16" t="n"/>
      <c r="I19" s="17">
        <f>IF(H19="","",IF(H19&lt;=1,"n/a",($B$2-B19)/(H19-1)))</f>
        <v/>
      </c>
    </row>
    <row r="20">
      <c r="A20" s="11" t="inlineStr">
        <is>
          <t>Creation Gas Plasma</t>
        </is>
      </c>
      <c r="B20" s="12" t="n">
        <v>10</v>
      </c>
      <c r="C20" s="13">
        <f>IF($B$2=0,0,B20/$B$2)</f>
        <v/>
      </c>
      <c r="D20" s="14">
        <f>IF(B20=0,"n/a",$B$2/B20)</f>
        <v/>
      </c>
      <c r="E20" s="13">
        <f>IF($B$3=0,0,B20/$B$3)</f>
        <v/>
      </c>
      <c r="F20" s="14">
        <f>IF(B20=0,"n/a",$B$3/B20)</f>
        <v/>
      </c>
      <c r="G20" s="15" t="n"/>
      <c r="H20" s="16" t="n"/>
      <c r="I20" s="17">
        <f>IF(H20="","",IF(H20&lt;=1,"n/a",($B$2-B20)/(H20-1)))</f>
        <v/>
      </c>
    </row>
    <row r="21">
      <c r="A21" s="11" t="inlineStr">
        <is>
          <t>Creation Gas Tritium</t>
        </is>
      </c>
      <c r="B21" s="12" t="n">
        <v>10</v>
      </c>
      <c r="C21" s="13">
        <f>IF($B$2=0,0,B21/$B$2)</f>
        <v/>
      </c>
      <c r="D21" s="14">
        <f>IF(B21=0,"n/a",$B$2/B21)</f>
        <v/>
      </c>
      <c r="E21" s="13">
        <f>IF($B$3=0,0,B21/$B$3)</f>
        <v/>
      </c>
      <c r="F21" s="14">
        <f>IF(B21=0,"n/a",$B$3/B21)</f>
        <v/>
      </c>
      <c r="G21" s="15" t="n"/>
      <c r="H21" s="16" t="n"/>
      <c r="I21" s="17">
        <f>IF(H21="","",IF(H21&lt;=1,"n/a",($B$2-B21)/(H21-1)))</f>
        <v/>
      </c>
    </row>
    <row r="22">
      <c r="A22" s="11" t="inlineStr">
        <is>
          <t>Emp</t>
        </is>
      </c>
      <c r="B22" s="12" t="n">
        <v>8</v>
      </c>
      <c r="C22" s="13">
        <f>IF($B$2=0,0,B22/$B$2)</f>
        <v/>
      </c>
      <c r="D22" s="14">
        <f>IF(B22=0,"n/a",$B$2/B22)</f>
        <v/>
      </c>
      <c r="E22" s="13">
        <f>IF($B$3=0,0,B22/$B$3)</f>
        <v/>
      </c>
      <c r="F22" s="14">
        <f>IF(B22=0,"n/a",$B$3/B22)</f>
        <v/>
      </c>
      <c r="G22" s="15" t="n"/>
      <c r="H22" s="16" t="n"/>
      <c r="I22" s="17">
        <f>IF(H22="","",IF(H22&lt;=1,"n/a",($B$2-B22)/(H22-1)))</f>
        <v/>
      </c>
    </row>
    <row r="23">
      <c r="A23" s="11" t="inlineStr">
        <is>
          <t>Explosion Scary</t>
        </is>
      </c>
      <c r="B23" s="12" t="n">
        <v>1</v>
      </c>
      <c r="C23" s="13">
        <f>IF($B$2=0,0,B23/$B$2)</f>
        <v/>
      </c>
      <c r="D23" s="14">
        <f>IF(B23=0,"n/a",$B$2/B23)</f>
        <v/>
      </c>
      <c r="E23" s="13">
        <f>IF($B$3=0,0,B23/$B$3)</f>
        <v/>
      </c>
      <c r="F23" s="14">
        <f>IF(B23=0,"n/a",$B$3/B23)</f>
        <v/>
      </c>
      <c r="G23" s="15" t="n"/>
      <c r="H23" s="16" t="n"/>
      <c r="I23" s="17">
        <f>IF(H23="","",IF(H23&lt;=1,"n/a",($B$2-B23)/(H23-1)))</f>
        <v/>
      </c>
    </row>
    <row r="24">
      <c r="A24" s="11" t="inlineStr">
        <is>
          <t>Fauna Spawn</t>
        </is>
      </c>
      <c r="B24" s="12" t="n">
        <v>1</v>
      </c>
      <c r="C24" s="13">
        <f>IF($B$2=0,0,B24/$B$2)</f>
        <v/>
      </c>
      <c r="D24" s="14">
        <f>IF(B24=0,"n/a",$B$2/B24)</f>
        <v/>
      </c>
      <c r="E24" s="13">
        <f>IF($B$3=0,0,B24/$B$3)</f>
        <v/>
      </c>
      <c r="F24" s="14">
        <f>IF(B24=0,"n/a",$B$3/B24)</f>
        <v/>
      </c>
      <c r="G24" s="15" t="n"/>
      <c r="H24" s="16" t="n"/>
      <c r="I24" s="17">
        <f>IF(H24="","",IF(H24&lt;=1,"n/a",($B$2-B24)/(H24-1)))</f>
        <v/>
      </c>
    </row>
    <row r="25">
      <c r="A25" s="11" t="inlineStr">
        <is>
          <t>Flora Spawn</t>
        </is>
      </c>
      <c r="B25" s="12" t="n">
        <v>1</v>
      </c>
      <c r="C25" s="13">
        <f>IF($B$2=0,0,B25/$B$2)</f>
        <v/>
      </c>
      <c r="D25" s="14">
        <f>IF(B25=0,"n/a",$B$2/B25)</f>
        <v/>
      </c>
      <c r="E25" s="13">
        <f>IF($B$3=0,0,B25/$B$3)</f>
        <v/>
      </c>
      <c r="F25" s="14">
        <f>IF(B25=0,"n/a",$B$3/B25)</f>
        <v/>
      </c>
      <c r="G25" s="15" t="n"/>
      <c r="H25" s="16" t="n"/>
      <c r="I25" s="17">
        <f>IF(H25="","",IF(H25&lt;=1,"n/a",($B$2-B25)/(H25-1)))</f>
        <v/>
      </c>
    </row>
    <row r="26">
      <c r="A26" s="11" t="inlineStr">
        <is>
          <t>Foam Dangerous</t>
        </is>
      </c>
      <c r="B26" s="12" t="n">
        <v>8</v>
      </c>
      <c r="C26" s="13">
        <f>IF($B$2=0,0,B26/$B$2)</f>
        <v/>
      </c>
      <c r="D26" s="14">
        <f>IF(B26=0,"n/a",$B$2/B26)</f>
        <v/>
      </c>
      <c r="E26" s="13">
        <f>IF($B$3=0,0,B26/$B$3)</f>
        <v/>
      </c>
      <c r="F26" s="14">
        <f>IF(B26=0,"n/a",$B$3/B26)</f>
        <v/>
      </c>
      <c r="G26" s="15" t="n"/>
      <c r="H26" s="16" t="n"/>
      <c r="I26" s="17">
        <f>IF(H26="","",IF(H26&lt;=1,"n/a",($B$2-B26)/(H26-1)))</f>
        <v/>
      </c>
    </row>
    <row r="27">
      <c r="A27" s="11" t="inlineStr">
        <is>
          <t>Foam Good</t>
        </is>
      </c>
      <c r="B27" s="12" t="n">
        <v>8</v>
      </c>
      <c r="C27" s="13">
        <f>IF($B$2=0,0,B27/$B$2)</f>
        <v/>
      </c>
      <c r="D27" s="14">
        <f>IF(B27=0,"n/a",$B$2/B27)</f>
        <v/>
      </c>
      <c r="E27" s="13">
        <f>IF($B$3=0,0,B27/$B$3)</f>
        <v/>
      </c>
      <c r="F27" s="14">
        <f>IF(B27=0,"n/a",$B$3/B27)</f>
        <v/>
      </c>
      <c r="G27" s="15" t="n"/>
      <c r="H27" s="16" t="n"/>
      <c r="I27" s="17">
        <f>IF(H27="","",IF(H27&lt;=1,"n/a",($B$2-B27)/(H27-1)))</f>
        <v/>
      </c>
    </row>
    <row r="28">
      <c r="A28" s="11" t="inlineStr">
        <is>
          <t>Foam Mild</t>
        </is>
      </c>
      <c r="B28" s="12" t="n">
        <v>3</v>
      </c>
      <c r="C28" s="13">
        <f>IF($B$2=0,0,B28/$B$2)</f>
        <v/>
      </c>
      <c r="D28" s="14">
        <f>IF(B28=0,"n/a",$B$2/B28)</f>
        <v/>
      </c>
      <c r="E28" s="13">
        <f>IF($B$3=0,0,B28/$B$3)</f>
        <v/>
      </c>
      <c r="F28" s="14">
        <f>IF(B28=0,"n/a",$B$3/B28)</f>
        <v/>
      </c>
      <c r="G28" s="15" t="n"/>
      <c r="H28" s="16" t="n"/>
      <c r="I28" s="17">
        <f>IF(H28="","",IF(H28&lt;=1,"n/a",($B$2-B28)/(H28-1)))</f>
        <v/>
      </c>
    </row>
    <row r="29">
      <c r="A29" s="11" t="inlineStr">
        <is>
          <t>Good Feeling</t>
        </is>
      </c>
      <c r="B29" s="12" t="n">
        <v>1</v>
      </c>
      <c r="C29" s="13">
        <f>IF($B$2=0,0,B29/$B$2)</f>
        <v/>
      </c>
      <c r="D29" s="14">
        <f>IF(B29=0,"n/a",$B$2/B29)</f>
        <v/>
      </c>
      <c r="E29" s="13">
        <f>IF($B$3=0,0,B29/$B$3)</f>
        <v/>
      </c>
      <c r="F29" s="14">
        <f>IF(B29=0,"n/a",$B$3/B29)</f>
        <v/>
      </c>
      <c r="G29" s="15" t="n"/>
      <c r="H29" s="16" t="n"/>
      <c r="I29" s="17">
        <f>IF(H29="","",IF(H29&lt;=1,"n/a",($B$2-B29)/(H29-1)))</f>
        <v/>
      </c>
    </row>
    <row r="30">
      <c r="A30" s="11" t="inlineStr">
        <is>
          <t>Heal Brute</t>
        </is>
      </c>
      <c r="B30" s="12" t="n">
        <v>1</v>
      </c>
      <c r="C30" s="13">
        <f>IF($B$2=0,0,B30/$B$2)</f>
        <v/>
      </c>
      <c r="D30" s="14">
        <f>IF(B30=0,"n/a",$B$2/B30)</f>
        <v/>
      </c>
      <c r="E30" s="13">
        <f>IF($B$3=0,0,B30/$B$3)</f>
        <v/>
      </c>
      <c r="F30" s="14">
        <f>IF(B30=0,"n/a",$B$3/B30)</f>
        <v/>
      </c>
      <c r="G30" s="15" t="n"/>
      <c r="H30" s="16" t="n"/>
      <c r="I30" s="17">
        <f>IF(H30="","",IF(H30&lt;=1,"n/a",($B$2-B30)/(H30-1)))</f>
        <v/>
      </c>
    </row>
    <row r="31">
      <c r="A31" s="11" t="inlineStr">
        <is>
          <t>Heal Burn</t>
        </is>
      </c>
      <c r="B31" s="12" t="n">
        <v>1</v>
      </c>
      <c r="C31" s="13">
        <f>IF($B$2=0,0,B31/$B$2)</f>
        <v/>
      </c>
      <c r="D31" s="14">
        <f>IF(B31=0,"n/a",$B$2/B31)</f>
        <v/>
      </c>
      <c r="E31" s="13">
        <f>IF($B$3=0,0,B31/$B$3)</f>
        <v/>
      </c>
      <c r="F31" s="14">
        <f>IF(B31=0,"n/a",$B$3/B31)</f>
        <v/>
      </c>
      <c r="G31" s="15" t="n"/>
      <c r="H31" s="16" t="n"/>
      <c r="I31" s="17">
        <f>IF(H31="","",IF(H31&lt;=1,"n/a",($B$2-B31)/(H31-1)))</f>
        <v/>
      </c>
    </row>
    <row r="32">
      <c r="A32" s="11" t="inlineStr">
        <is>
          <t>Heal Rare</t>
        </is>
      </c>
      <c r="B32" s="12" t="n">
        <v>2</v>
      </c>
      <c r="C32" s="13">
        <f>IF($B$2=0,0,B32/$B$2)</f>
        <v/>
      </c>
      <c r="D32" s="14">
        <f>IF(B32=0,"n/a",$B$2/B32)</f>
        <v/>
      </c>
      <c r="E32" s="13">
        <f>IF($B$3=0,0,B32/$B$3)</f>
        <v/>
      </c>
      <c r="F32" s="14">
        <f>IF(B32=0,"n/a",$B$3/B32)</f>
        <v/>
      </c>
      <c r="G32" s="15" t="n"/>
      <c r="H32" s="16" t="n"/>
      <c r="I32" s="17">
        <f>IF(H32="","",IF(H32&lt;=1,"n/a",($B$2-B32)/(H32-1)))</f>
        <v/>
      </c>
    </row>
    <row r="33">
      <c r="A33" s="11" t="inlineStr">
        <is>
          <t>Heal All</t>
        </is>
      </c>
      <c r="B33" s="12" t="n">
        <v>2</v>
      </c>
      <c r="C33" s="13">
        <f>IF($B$2=0,0,B33/$B$2)</f>
        <v/>
      </c>
      <c r="D33" s="14">
        <f>IF(B33=0,"n/a",$B$2/B33)</f>
        <v/>
      </c>
      <c r="E33" s="13">
        <f>IF($B$3=0,0,B33/$B$3)</f>
        <v/>
      </c>
      <c r="F33" s="14">
        <f>IF(B33=0,"n/a",$B$3/B33)</f>
        <v/>
      </c>
      <c r="G33" s="15" t="n"/>
      <c r="H33" s="16" t="n"/>
      <c r="I33" s="17">
        <f>IF(H33="","",IF(H33&lt;=1,"n/a",($B$2-B33)/(H33-1)))</f>
        <v/>
      </c>
    </row>
    <row r="34">
      <c r="A34" s="11" t="inlineStr">
        <is>
          <t>Heat Wave</t>
        </is>
      </c>
      <c r="B34" s="12" t="n">
        <v>8</v>
      </c>
      <c r="C34" s="13">
        <f>IF($B$2=0,0,B34/$B$2)</f>
        <v/>
      </c>
      <c r="D34" s="14">
        <f>IF(B34=0,"n/a",$B$2/B34)</f>
        <v/>
      </c>
      <c r="E34" s="13">
        <f>IF($B$3=0,0,B34/$B$3)</f>
        <v/>
      </c>
      <c r="F34" s="14">
        <f>IF(B34=0,"n/a",$B$3/B34)</f>
        <v/>
      </c>
      <c r="G34" s="15" t="n"/>
      <c r="H34" s="16" t="n"/>
      <c r="I34" s="17">
        <f>IF(H34="","",IF(H34&lt;=1,"n/a",($B$2-B34)/(H34-1)))</f>
        <v/>
      </c>
    </row>
    <row r="35">
      <c r="A35" s="11" t="inlineStr">
        <is>
          <t>Hostile Fauna Spawn</t>
        </is>
      </c>
      <c r="B35" s="12" t="n">
        <v>10</v>
      </c>
      <c r="C35" s="13">
        <f>IF($B$2=0,0,B35/$B$2)</f>
        <v/>
      </c>
      <c r="D35" s="14">
        <f>IF(B35=0,"n/a",$B$2/B35)</f>
        <v/>
      </c>
      <c r="E35" s="13">
        <f>IF($B$3=0,0,B35/$B$3)</f>
        <v/>
      </c>
      <c r="F35" s="14">
        <f>IF(B35=0,"n/a",$B$3/B35)</f>
        <v/>
      </c>
      <c r="G35" s="15" t="n"/>
      <c r="H35" s="16" t="n"/>
      <c r="I35" s="17">
        <f>IF(H35="","",IF(H35&lt;=1,"n/a",($B$2-B35)/(H35-1)))</f>
        <v/>
      </c>
    </row>
    <row r="36">
      <c r="A36" s="11" t="inlineStr">
        <is>
          <t>Ignite</t>
        </is>
      </c>
      <c r="B36" s="12" t="n">
        <v>10</v>
      </c>
      <c r="C36" s="13">
        <f>IF($B$2=0,0,B36/$B$2)</f>
        <v/>
      </c>
      <c r="D36" s="14">
        <f>IF(B36=0,"n/a",$B$2/B36)</f>
        <v/>
      </c>
      <c r="E36" s="13">
        <f>IF($B$3=0,0,B36/$B$3)</f>
        <v/>
      </c>
      <c r="F36" s="14">
        <f>IF(B36=0,"n/a",$B$3/B36)</f>
        <v/>
      </c>
      <c r="G36" s="15" t="n"/>
      <c r="H36" s="16" t="n"/>
      <c r="I36" s="17">
        <f>IF(H36="","",IF(H36&lt;=1,"n/a",($B$2-B36)/(H36-1)))</f>
        <v/>
      </c>
    </row>
    <row r="37">
      <c r="A37" s="11" t="inlineStr">
        <is>
          <t>Junk Spawn</t>
        </is>
      </c>
      <c r="B37" s="12" t="n">
        <v>0</v>
      </c>
      <c r="C37" s="13">
        <f>IF($B$2=0,0,B37/$B$2)</f>
        <v/>
      </c>
      <c r="D37" s="14">
        <f>IF(B37=0,"n/a",$B$2/B37)</f>
        <v/>
      </c>
      <c r="E37" s="13">
        <f>IF($B$3=0,0,B37/$B$3)</f>
        <v/>
      </c>
      <c r="F37" s="14">
        <f>IF(B37=0,"n/a",$B$3/B37)</f>
        <v/>
      </c>
      <c r="G37" s="15" t="n"/>
      <c r="H37" s="16" t="n"/>
      <c r="I37" s="17">
        <f>IF(H37="","",IF(H37&lt;=1,"n/a",($B$2-B37)/(H37-1)))</f>
        <v/>
      </c>
    </row>
    <row r="38">
      <c r="A38" s="11" t="inlineStr">
        <is>
          <t>Knock</t>
        </is>
      </c>
      <c r="B38" s="12" t="n">
        <v>8</v>
      </c>
      <c r="C38" s="13">
        <f>IF($B$2=0,0,B38/$B$2)</f>
        <v/>
      </c>
      <c r="D38" s="14">
        <f>IF(B38=0,"n/a",$B$2/B38)</f>
        <v/>
      </c>
      <c r="E38" s="13">
        <f>IF($B$3=0,0,B38/$B$3)</f>
        <v/>
      </c>
      <c r="F38" s="14">
        <f>IF(B38=0,"n/a",$B$3/B38)</f>
        <v/>
      </c>
      <c r="G38" s="15" t="n"/>
      <c r="H38" s="16" t="n"/>
      <c r="I38" s="17">
        <f>IF(H38="","",IF(H38&lt;=1,"n/a",($B$2-B38)/(H38-1)))</f>
        <v/>
      </c>
    </row>
    <row r="39">
      <c r="A39" s="11" t="inlineStr">
        <is>
          <t>Light Flicker</t>
        </is>
      </c>
      <c r="B39" s="12" t="n">
        <v>3</v>
      </c>
      <c r="C39" s="13">
        <f>IF($B$2=0,0,B39/$B$2)</f>
        <v/>
      </c>
      <c r="D39" s="14">
        <f>IF(B39=0,"n/a",$B$2/B39)</f>
        <v/>
      </c>
      <c r="E39" s="13">
        <f>IF($B$3=0,0,B39/$B$3)</f>
        <v/>
      </c>
      <c r="F39" s="14">
        <f>IF(B39=0,"n/a",$B$3/B39)</f>
        <v/>
      </c>
      <c r="G39" s="15" t="n"/>
      <c r="H39" s="16" t="n"/>
      <c r="I39" s="17">
        <f>IF(H39="","",IF(H39&lt;=1,"n/a",($B$2-B39)/(H39-1)))</f>
        <v/>
      </c>
    </row>
    <row r="40">
      <c r="A40" s="11" t="inlineStr">
        <is>
          <t>Magnet</t>
        </is>
      </c>
      <c r="B40" s="12" t="n">
        <v>10</v>
      </c>
      <c r="C40" s="13">
        <f>IF($B$2=0,0,B40/$B$2)</f>
        <v/>
      </c>
      <c r="D40" s="14">
        <f>IF(B40=0,"n/a",$B$2/B40)</f>
        <v/>
      </c>
      <c r="E40" s="13">
        <f>IF($B$3=0,0,B40/$B$3)</f>
        <v/>
      </c>
      <c r="F40" s="14">
        <f>IF(B40=0,"n/a",$B$3/B40)</f>
        <v/>
      </c>
      <c r="G40" s="15" t="n"/>
      <c r="H40" s="16" t="n"/>
      <c r="I40" s="17">
        <f>IF(H40="","",IF(H40&lt;=1,"n/a",($B$2-B40)/(H40-1)))</f>
        <v/>
      </c>
    </row>
    <row r="41">
      <c r="A41" s="11" t="inlineStr">
        <is>
          <t>Magnet Negative</t>
        </is>
      </c>
      <c r="B41" s="12" t="n">
        <v>10</v>
      </c>
      <c r="C41" s="13">
        <f>IF($B$2=0,0,B41/$B$2)</f>
        <v/>
      </c>
      <c r="D41" s="14">
        <f>IF(B41=0,"n/a",$B$2/B41)</f>
        <v/>
      </c>
      <c r="E41" s="13">
        <f>IF($B$3=0,0,B41/$B$3)</f>
        <v/>
      </c>
      <c r="F41" s="14">
        <f>IF(B41=0,"n/a",$B$3/B41)</f>
        <v/>
      </c>
      <c r="G41" s="15" t="n"/>
      <c r="H41" s="16" t="n"/>
      <c r="I41" s="17">
        <f>IF(H41="","",IF(H41&lt;=1,"n/a",($B$2-B41)/(H41-1)))</f>
        <v/>
      </c>
    </row>
    <row r="42">
      <c r="A42" s="11" t="inlineStr">
        <is>
          <t>Monkey Spawn</t>
        </is>
      </c>
      <c r="B42" s="12" t="n">
        <v>3</v>
      </c>
      <c r="C42" s="13">
        <f>IF($B$2=0,0,B42/$B$2)</f>
        <v/>
      </c>
      <c r="D42" s="14">
        <f>IF(B42=0,"n/a",$B$2/B42)</f>
        <v/>
      </c>
      <c r="E42" s="13">
        <f>IF($B$3=0,0,B42/$B$3)</f>
        <v/>
      </c>
      <c r="F42" s="14">
        <f>IF(B42=0,"n/a",$B$3/B42)</f>
        <v/>
      </c>
      <c r="G42" s="15" t="n"/>
      <c r="H42" s="16" t="n"/>
      <c r="I42" s="17">
        <f>IF(H42="","",IF(H42&lt;=1,"n/a",($B$2-B42)/(H42-1)))</f>
        <v/>
      </c>
    </row>
    <row r="43">
      <c r="A43" s="11" t="inlineStr">
        <is>
          <t>Phasing</t>
        </is>
      </c>
      <c r="B43" s="12" t="n">
        <v>1</v>
      </c>
      <c r="C43" s="13">
        <f>IF($B$2=0,0,B43/$B$2)</f>
        <v/>
      </c>
      <c r="D43" s="14">
        <f>IF(B43=0,"n/a",$B$2/B43)</f>
        <v/>
      </c>
      <c r="E43" s="13">
        <f>IF($B$3=0,0,B43/$B$3)</f>
        <v/>
      </c>
      <c r="F43" s="14">
        <f>IF(B43=0,"n/a",$B$3/B43)</f>
        <v/>
      </c>
      <c r="G43" s="15" t="n"/>
      <c r="H43" s="16" t="n"/>
      <c r="I43" s="17">
        <f>IF(H43="","",IF(H43&lt;=1,"n/a",($B$2-B43)/(H43-1)))</f>
        <v/>
      </c>
    </row>
    <row r="44">
      <c r="A44" s="11" t="inlineStr">
        <is>
          <t>Poly Luminous</t>
        </is>
      </c>
      <c r="B44" s="12" t="n">
        <v>3</v>
      </c>
      <c r="C44" s="13">
        <f>IF($B$2=0,0,B44/$B$2)</f>
        <v/>
      </c>
      <c r="D44" s="14">
        <f>IF(B44=0,"n/a",$B$2/B44)</f>
        <v/>
      </c>
      <c r="E44" s="13">
        <f>IF($B$3=0,0,B44/$B$3)</f>
        <v/>
      </c>
      <c r="F44" s="14">
        <f>IF(B44=0,"n/a",$B$3/B44)</f>
        <v/>
      </c>
      <c r="G44" s="15" t="n"/>
      <c r="H44" s="16" t="n"/>
      <c r="I44" s="17">
        <f>IF(H44="","",IF(H44&lt;=1,"n/a",($B$2-B44)/(H44-1)))</f>
        <v/>
      </c>
    </row>
    <row r="45">
      <c r="A45" s="11" t="inlineStr">
        <is>
          <t>Poly Lizard</t>
        </is>
      </c>
      <c r="B45" s="12" t="n">
        <v>3</v>
      </c>
      <c r="C45" s="13">
        <f>IF($B$2=0,0,B45/$B$2)</f>
        <v/>
      </c>
      <c r="D45" s="14">
        <f>IF(B45=0,"n/a",$B$2/B45)</f>
        <v/>
      </c>
      <c r="E45" s="13">
        <f>IF($B$3=0,0,B45/$B$3)</f>
        <v/>
      </c>
      <c r="F45" s="14">
        <f>IF(B45=0,"n/a",$B$3/B45)</f>
        <v/>
      </c>
      <c r="G45" s="15" t="n"/>
      <c r="H45" s="16" t="n"/>
      <c r="I45" s="17">
        <f>IF(H45="","",IF(H45&lt;=1,"n/a",($B$2-B45)/(H45-1)))</f>
        <v/>
      </c>
    </row>
    <row r="46">
      <c r="A46" s="11" t="inlineStr">
        <is>
          <t>Poly Monkey</t>
        </is>
      </c>
      <c r="B46" s="12" t="n">
        <v>3</v>
      </c>
      <c r="C46" s="13">
        <f>IF($B$2=0,0,B46/$B$2)</f>
        <v/>
      </c>
      <c r="D46" s="14">
        <f>IF(B46=0,"n/a",$B$2/B46)</f>
        <v/>
      </c>
      <c r="E46" s="13">
        <f>IF($B$3=0,0,B46/$B$3)</f>
        <v/>
      </c>
      <c r="F46" s="14">
        <f>IF(B46=0,"n/a",$B$3/B46)</f>
        <v/>
      </c>
      <c r="G46" s="15" t="n"/>
      <c r="H46" s="16" t="n"/>
      <c r="I46" s="17">
        <f>IF(H46="","",IF(H46&lt;=1,"n/a",($B$2-B46)/(H46-1)))</f>
        <v/>
      </c>
    </row>
    <row r="47">
      <c r="A47" s="11" t="inlineStr">
        <is>
          <t>Portal</t>
        </is>
      </c>
      <c r="B47" s="12" t="n">
        <v>3</v>
      </c>
      <c r="C47" s="13">
        <f>IF($B$2=0,0,B47/$B$2)</f>
        <v/>
      </c>
      <c r="D47" s="14">
        <f>IF(B47=0,"n/a",$B$2/B47)</f>
        <v/>
      </c>
      <c r="E47" s="13">
        <f>IF($B$3=0,0,B47/$B$3)</f>
        <v/>
      </c>
      <c r="F47" s="14">
        <f>IF(B47=0,"n/a",$B$3/B47)</f>
        <v/>
      </c>
      <c r="G47" s="15" t="n"/>
      <c r="H47" s="16" t="n"/>
      <c r="I47" s="17">
        <f>IF(H47="","",IF(H47&lt;=1,"n/a",($B$2-B47)/(H47-1)))</f>
        <v/>
      </c>
    </row>
    <row r="48">
      <c r="A48" s="11" t="inlineStr">
        <is>
          <t>Potassium Wave</t>
        </is>
      </c>
      <c r="B48" s="12" t="n">
        <v>8</v>
      </c>
      <c r="C48" s="13">
        <f>IF($B$2=0,0,B48/$B$2)</f>
        <v/>
      </c>
      <c r="D48" s="14">
        <f>IF(B48=0,"n/a",$B$2/B48)</f>
        <v/>
      </c>
      <c r="E48" s="13">
        <f>IF($B$3=0,0,B48/$B$3)</f>
        <v/>
      </c>
      <c r="F48" s="14">
        <f>IF(B48=0,"n/a",$B$3/B48)</f>
        <v/>
      </c>
      <c r="G48" s="15" t="n"/>
      <c r="H48" s="16" t="n"/>
      <c r="I48" s="17">
        <f>IF(H48="","",IF(H48&lt;=1,"n/a",($B$2-B48)/(H48-1)))</f>
        <v/>
      </c>
    </row>
    <row r="49">
      <c r="A49" s="11" t="inlineStr">
        <is>
          <t>Puddle Rare</t>
        </is>
      </c>
      <c r="B49" s="12" t="n">
        <v>3</v>
      </c>
      <c r="C49" s="13">
        <f>IF($B$2=0,0,B49/$B$2)</f>
        <v/>
      </c>
      <c r="D49" s="14">
        <f>IF(B49=0,"n/a",$B$2/B49)</f>
        <v/>
      </c>
      <c r="E49" s="13">
        <f>IF($B$3=0,0,B49/$B$3)</f>
        <v/>
      </c>
      <c r="F49" s="14">
        <f>IF(B49=0,"n/a",$B$3/B49)</f>
        <v/>
      </c>
      <c r="G49" s="15" t="n"/>
      <c r="H49" s="16" t="n"/>
      <c r="I49" s="17">
        <f>IF(H49="","",IF(H49&lt;=1,"n/a",($B$2-B49)/(H49-1)))</f>
        <v/>
      </c>
    </row>
    <row r="50">
      <c r="A50" s="11" t="inlineStr">
        <is>
          <t>Radioactive</t>
        </is>
      </c>
      <c r="B50" s="12" t="n">
        <v>3</v>
      </c>
      <c r="C50" s="13">
        <f>IF($B$2=0,0,B50/$B$2)</f>
        <v/>
      </c>
      <c r="D50" s="14">
        <f>IF(B50=0,"n/a",$B$2/B50)</f>
        <v/>
      </c>
      <c r="E50" s="13">
        <f>IF($B$3=0,0,B50/$B$3)</f>
        <v/>
      </c>
      <c r="F50" s="14">
        <f>IF(B50=0,"n/a",$B$3/B50)</f>
        <v/>
      </c>
      <c r="G50" s="15" t="n"/>
      <c r="H50" s="16" t="n"/>
      <c r="I50" s="17">
        <f>IF(H50="","",IF(H50&lt;=1,"n/a",($B$2-B50)/(H50-1)))</f>
        <v/>
      </c>
    </row>
    <row r="51">
      <c r="A51" s="11" t="inlineStr">
        <is>
          <t>Radioactive Strong</t>
        </is>
      </c>
      <c r="B51" s="12" t="n">
        <v>10</v>
      </c>
      <c r="C51" s="13">
        <f>IF($B$2=0,0,B51/$B$2)</f>
        <v/>
      </c>
      <c r="D51" s="14">
        <f>IF(B51=0,"n/a",$B$2/B51)</f>
        <v/>
      </c>
      <c r="E51" s="13">
        <f>IF($B$3=0,0,B51/$B$3)</f>
        <v/>
      </c>
      <c r="F51" s="14">
        <f>IF(B51=0,"n/a",$B$3/B51)</f>
        <v/>
      </c>
      <c r="G51" s="15" t="n"/>
      <c r="H51" s="16" t="n"/>
      <c r="I51" s="17">
        <f>IF(H51="","",IF(H51&lt;=1,"n/a",($B$2-B51)/(H51-1)))</f>
        <v/>
      </c>
    </row>
    <row r="52">
      <c r="A52" s="11" t="inlineStr">
        <is>
          <t>Random Instrument Spawn</t>
        </is>
      </c>
      <c r="B52" s="12" t="n">
        <v>0</v>
      </c>
      <c r="C52" s="13">
        <f>IF($B$2=0,0,B52/$B$2)</f>
        <v/>
      </c>
      <c r="D52" s="14">
        <f>IF(B52=0,"n/a",$B$2/B52)</f>
        <v/>
      </c>
      <c r="E52" s="13">
        <f>IF($B$3=0,0,B52/$B$3)</f>
        <v/>
      </c>
      <c r="F52" s="14">
        <f>IF(B52=0,"n/a",$B$3/B52)</f>
        <v/>
      </c>
      <c r="G52" s="15" t="n"/>
      <c r="H52" s="16" t="n"/>
      <c r="I52" s="17">
        <f>IF(H52="","",IF(H52&lt;=1,"n/a",($B$2-B52)/(H52-1)))</f>
        <v/>
      </c>
    </row>
    <row r="53">
      <c r="A53" s="11" t="inlineStr">
        <is>
          <t>Shatter Windows</t>
        </is>
      </c>
      <c r="B53" s="12" t="n">
        <v>3</v>
      </c>
      <c r="C53" s="13">
        <f>IF($B$2=0,0,B53/$B$2)</f>
        <v/>
      </c>
      <c r="D53" s="14">
        <f>IF(B53=0,"n/a",$B$2/B53)</f>
        <v/>
      </c>
      <c r="E53" s="13">
        <f>IF($B$3=0,0,B53/$B$3)</f>
        <v/>
      </c>
      <c r="F53" s="14">
        <f>IF(B53=0,"n/a",$B$3/B53)</f>
        <v/>
      </c>
      <c r="G53" s="15" t="n"/>
      <c r="H53" s="16" t="n"/>
      <c r="I53" s="17">
        <f>IF(H53="","",IF(H53&lt;=1,"n/a",($B$2-B53)/(H53-1)))</f>
        <v/>
      </c>
    </row>
    <row r="54">
      <c r="A54" s="11" t="inlineStr">
        <is>
          <t>Shuffle</t>
        </is>
      </c>
      <c r="B54" s="12" t="n">
        <v>8</v>
      </c>
      <c r="C54" s="13">
        <f>IF($B$2=0,0,B54/$B$2)</f>
        <v/>
      </c>
      <c r="D54" s="14">
        <f>IF(B54=0,"n/a",$B$2/B54)</f>
        <v/>
      </c>
      <c r="E54" s="13">
        <f>IF($B$3=0,0,B54/$B$3)</f>
        <v/>
      </c>
      <c r="F54" s="14">
        <f>IF(B54=0,"n/a",$B$3/B54)</f>
        <v/>
      </c>
      <c r="G54" s="15" t="n"/>
      <c r="H54" s="16" t="n"/>
      <c r="I54" s="17">
        <f>IF(H54="","",IF(H54&lt;=1,"n/a",($B$2-B54)/(H54-1)))</f>
        <v/>
      </c>
    </row>
    <row r="55">
      <c r="A55" s="11" t="inlineStr">
        <is>
          <t>Solution Storage</t>
        </is>
      </c>
      <c r="B55" s="12" t="n">
        <v>10</v>
      </c>
      <c r="C55" s="13">
        <f>IF($B$2=0,0,B55/$B$2)</f>
        <v/>
      </c>
      <c r="D55" s="14">
        <f>IF(B55=0,"n/a",$B$2/B55)</f>
        <v/>
      </c>
      <c r="E55" s="13">
        <f>IF($B$3=0,0,B55/$B$3)</f>
        <v/>
      </c>
      <c r="F55" s="14">
        <f>IF(B55=0,"n/a",$B$3/B55)</f>
        <v/>
      </c>
      <c r="G55" s="15" t="n"/>
      <c r="H55" s="16" t="n"/>
      <c r="I55" s="17">
        <f>IF(H55="","",IF(H55&lt;=1,"n/a",($B$2-B55)/(H55-1)))</f>
        <v/>
      </c>
    </row>
    <row r="56">
      <c r="A56" s="11" t="inlineStr">
        <is>
          <t>Angry Carp Spawn</t>
        </is>
      </c>
      <c r="B56" s="12" t="n">
        <v>8</v>
      </c>
      <c r="C56" s="13">
        <f>IF($B$2=0,0,B56/$B$2)</f>
        <v/>
      </c>
      <c r="D56" s="14">
        <f>IF(B56=0,"n/a",$B$2/B56)</f>
        <v/>
      </c>
      <c r="E56" s="13">
        <f>IF($B$3=0,0,B56/$B$3)</f>
        <v/>
      </c>
      <c r="F56" s="14">
        <f>IF(B56=0,"n/a",$B$3/B56)</f>
        <v/>
      </c>
      <c r="G56" s="15" t="n"/>
      <c r="H56" s="16" t="n"/>
      <c r="I56" s="17">
        <f>IF(H56="","",IF(H56&lt;=1,"n/a",($B$2-B56)/(H56-1)))</f>
        <v/>
      </c>
    </row>
    <row r="57">
      <c r="A57" s="11" t="inlineStr">
        <is>
          <t>Material Spawn Glass Few</t>
        </is>
      </c>
      <c r="B57" s="12" t="n">
        <v>0</v>
      </c>
      <c r="C57" s="13">
        <f>IF($B$2=0,0,B57/$B$2)</f>
        <v/>
      </c>
      <c r="D57" s="14">
        <f>IF(B57=0,"n/a",$B$2/B57)</f>
        <v/>
      </c>
      <c r="E57" s="13">
        <f>IF($B$3=0,0,B57/$B$3)</f>
        <v/>
      </c>
      <c r="F57" s="14">
        <f>IF(B57=0,"n/a",$B$3/B57)</f>
        <v/>
      </c>
      <c r="G57" s="15" t="n"/>
      <c r="H57" s="16" t="n"/>
      <c r="I57" s="17">
        <f>IF(H57="","",IF(H57&lt;=1,"n/a",($B$2-B57)/(H57-1)))</f>
        <v/>
      </c>
    </row>
    <row r="58">
      <c r="A58" s="11" t="inlineStr">
        <is>
          <t>Material Spawn Glass Many</t>
        </is>
      </c>
      <c r="B58" s="12" t="n">
        <v>2</v>
      </c>
      <c r="C58" s="13">
        <f>IF($B$2=0,0,B58/$B$2)</f>
        <v/>
      </c>
      <c r="D58" s="14">
        <f>IF(B58=0,"n/a",$B$2/B58)</f>
        <v/>
      </c>
      <c r="E58" s="13">
        <f>IF($B$3=0,0,B58/$B$3)</f>
        <v/>
      </c>
      <c r="F58" s="14">
        <f>IF(B58=0,"n/a",$B$3/B58)</f>
        <v/>
      </c>
      <c r="G58" s="15" t="n"/>
      <c r="H58" s="16" t="n"/>
      <c r="I58" s="17">
        <f>IF(H58="","",IF(H58&lt;=1,"n/a",($B$2-B58)/(H58-1)))</f>
        <v/>
      </c>
    </row>
    <row r="59">
      <c r="A59" s="11" t="inlineStr">
        <is>
          <t>Material Spawn Glass Stack</t>
        </is>
      </c>
      <c r="B59" s="12" t="n">
        <v>3</v>
      </c>
      <c r="C59" s="13">
        <f>IF($B$2=0,0,B59/$B$2)</f>
        <v/>
      </c>
      <c r="D59" s="14">
        <f>IF(B59=0,"n/a",$B$2/B59)</f>
        <v/>
      </c>
      <c r="E59" s="13">
        <f>IF($B$3=0,0,B59/$B$3)</f>
        <v/>
      </c>
      <c r="F59" s="14">
        <f>IF(B59=0,"n/a",$B$3/B59)</f>
        <v/>
      </c>
      <c r="G59" s="15" t="n"/>
      <c r="H59" s="16" t="n"/>
      <c r="I59" s="17">
        <f>IF(H59="","",IF(H59&lt;=1,"n/a",($B$2-B59)/(H59-1)))</f>
        <v/>
      </c>
    </row>
    <row r="60">
      <c r="A60" s="11" t="inlineStr">
        <is>
          <t>Material Spawn Steel Few</t>
        </is>
      </c>
      <c r="B60" s="12" t="n">
        <v>0</v>
      </c>
      <c r="C60" s="13">
        <f>IF($B$2=0,0,B60/$B$2)</f>
        <v/>
      </c>
      <c r="D60" s="14">
        <f>IF(B60=0,"n/a",$B$2/B60)</f>
        <v/>
      </c>
      <c r="E60" s="13">
        <f>IF($B$3=0,0,B60/$B$3)</f>
        <v/>
      </c>
      <c r="F60" s="14">
        <f>IF(B60=0,"n/a",$B$3/B60)</f>
        <v/>
      </c>
      <c r="G60" s="15" t="n"/>
      <c r="H60" s="16" t="n"/>
      <c r="I60" s="17">
        <f>IF(H60="","",IF(H60&lt;=1,"n/a",($B$2-B60)/(H60-1)))</f>
        <v/>
      </c>
    </row>
    <row r="61">
      <c r="A61" s="11" t="inlineStr">
        <is>
          <t>Material Spawn Steel Many</t>
        </is>
      </c>
      <c r="B61" s="12" t="n">
        <v>2</v>
      </c>
      <c r="C61" s="13">
        <f>IF($B$2=0,0,B61/$B$2)</f>
        <v/>
      </c>
      <c r="D61" s="14">
        <f>IF(B61=0,"n/a",$B$2/B61)</f>
        <v/>
      </c>
      <c r="E61" s="13">
        <f>IF($B$3=0,0,B61/$B$3)</f>
        <v/>
      </c>
      <c r="F61" s="14">
        <f>IF(B61=0,"n/a",$B$3/B61)</f>
        <v/>
      </c>
      <c r="G61" s="15" t="n"/>
      <c r="H61" s="16" t="n"/>
      <c r="I61" s="17">
        <f>IF(H61="","",IF(H61&lt;=1,"n/a",($B$2-B61)/(H61-1)))</f>
        <v/>
      </c>
    </row>
    <row r="62">
      <c r="A62" s="11" t="inlineStr">
        <is>
          <t>Material Spawn Steel Stack</t>
        </is>
      </c>
      <c r="B62" s="12" t="n">
        <v>3</v>
      </c>
      <c r="C62" s="13">
        <f>IF($B$2=0,0,B62/$B$2)</f>
        <v/>
      </c>
      <c r="D62" s="14">
        <f>IF(B62=0,"n/a",$B$2/B62)</f>
        <v/>
      </c>
      <c r="E62" s="13">
        <f>IF($B$3=0,0,B62/$B$3)</f>
        <v/>
      </c>
      <c r="F62" s="14">
        <f>IF(B62=0,"n/a",$B$3/B62)</f>
        <v/>
      </c>
      <c r="G62" s="15" t="n"/>
      <c r="H62" s="16" t="n"/>
      <c r="I62" s="17">
        <f>IF(H62="","",IF(H62&lt;=1,"n/a",($B$2-B62)/(H62-1)))</f>
        <v/>
      </c>
    </row>
    <row r="63">
      <c r="A63" s="11" t="inlineStr">
        <is>
          <t>Material Spawn Plastic Few</t>
        </is>
      </c>
      <c r="B63" s="12" t="n">
        <v>0</v>
      </c>
      <c r="C63" s="13">
        <f>IF($B$2=0,0,B63/$B$2)</f>
        <v/>
      </c>
      <c r="D63" s="14">
        <f>IF(B63=0,"n/a",$B$2/B63)</f>
        <v/>
      </c>
      <c r="E63" s="13">
        <f>IF($B$3=0,0,B63/$B$3)</f>
        <v/>
      </c>
      <c r="F63" s="14">
        <f>IF(B63=0,"n/a",$B$3/B63)</f>
        <v/>
      </c>
      <c r="G63" s="15" t="n"/>
      <c r="H63" s="16" t="n"/>
      <c r="I63" s="17">
        <f>IF(H63="","",IF(H63&lt;=1,"n/a",($B$2-B63)/(H63-1)))</f>
        <v/>
      </c>
    </row>
    <row r="64">
      <c r="A64" s="11" t="inlineStr">
        <is>
          <t>Material Spawn Plastic Many</t>
        </is>
      </c>
      <c r="B64" s="12" t="n">
        <v>2</v>
      </c>
      <c r="C64" s="13">
        <f>IF($B$2=0,0,B64/$B$2)</f>
        <v/>
      </c>
      <c r="D64" s="14">
        <f>IF(B64=0,"n/a",$B$2/B64)</f>
        <v/>
      </c>
      <c r="E64" s="13">
        <f>IF($B$3=0,0,B64/$B$3)</f>
        <v/>
      </c>
      <c r="F64" s="14">
        <f>IF(B64=0,"n/a",$B$3/B64)</f>
        <v/>
      </c>
      <c r="G64" s="15" t="n"/>
      <c r="H64" s="16" t="n"/>
      <c r="I64" s="17">
        <f>IF(H64="","",IF(H64&lt;=1,"n/a",($B$2-B64)/(H64-1)))</f>
        <v/>
      </c>
    </row>
    <row r="65">
      <c r="A65" s="11" t="inlineStr">
        <is>
          <t>Material Spawn Plastic Stack</t>
        </is>
      </c>
      <c r="B65" s="12" t="n">
        <v>3</v>
      </c>
      <c r="C65" s="13">
        <f>IF($B$2=0,0,B65/$B$2)</f>
        <v/>
      </c>
      <c r="D65" s="14">
        <f>IF(B65=0,"n/a",$B$2/B65)</f>
        <v/>
      </c>
      <c r="E65" s="13">
        <f>IF($B$3=0,0,B65/$B$3)</f>
        <v/>
      </c>
      <c r="F65" s="14">
        <f>IF(B65=0,"n/a",$B$3/B65)</f>
        <v/>
      </c>
      <c r="G65" s="15" t="n"/>
      <c r="H65" s="16" t="n"/>
      <c r="I65" s="17">
        <f>IF(H65="","",IF(H65&lt;=1,"n/a",($B$2-B65)/(H65-1)))</f>
        <v/>
      </c>
    </row>
    <row r="66">
      <c r="A66" s="11" t="inlineStr">
        <is>
          <t>Raw Material Spawn Bananium Few</t>
        </is>
      </c>
      <c r="B66" s="12" t="n">
        <v>1</v>
      </c>
      <c r="C66" s="13">
        <f>IF($B$2=0,0,B66/$B$2)</f>
        <v/>
      </c>
      <c r="D66" s="14">
        <f>IF(B66=0,"n/a",$B$2/B66)</f>
        <v/>
      </c>
      <c r="E66" s="13">
        <f>IF($B$3=0,0,B66/$B$3)</f>
        <v/>
      </c>
      <c r="F66" s="14">
        <f>IF(B66=0,"n/a",$B$3/B66)</f>
        <v/>
      </c>
      <c r="G66" s="15" t="n"/>
      <c r="H66" s="16" t="n"/>
      <c r="I66" s="17">
        <f>IF(H66="","",IF(H66&lt;=1,"n/a",($B$2-B66)/(H66-1)))</f>
        <v/>
      </c>
    </row>
    <row r="67">
      <c r="A67" s="11" t="inlineStr">
        <is>
          <t>Raw Material Spawn Bananium More</t>
        </is>
      </c>
      <c r="B67" s="12" t="n">
        <v>3</v>
      </c>
      <c r="C67" s="13">
        <f>IF($B$2=0,0,B67/$B$2)</f>
        <v/>
      </c>
      <c r="D67" s="14">
        <f>IF(B67=0,"n/a",$B$2/B67)</f>
        <v/>
      </c>
      <c r="E67" s="13">
        <f>IF($B$3=0,0,B67/$B$3)</f>
        <v/>
      </c>
      <c r="F67" s="14">
        <f>IF(B67=0,"n/a",$B$3/B67)</f>
        <v/>
      </c>
      <c r="G67" s="15" t="n"/>
      <c r="H67" s="16" t="n"/>
      <c r="I67" s="17">
        <f>IF(H67="","",IF(H67&lt;=1,"n/a",($B$2-B67)/(H67-1)))</f>
        <v/>
      </c>
    </row>
    <row r="68">
      <c r="A68" s="11" t="inlineStr">
        <is>
          <t>Raw Material Spawn Bananium Many</t>
        </is>
      </c>
      <c r="B68" s="12" t="n">
        <v>3</v>
      </c>
      <c r="C68" s="13">
        <f>IF($B$2=0,0,B68/$B$2)</f>
        <v/>
      </c>
      <c r="D68" s="14">
        <f>IF(B68=0,"n/a",$B$2/B68)</f>
        <v/>
      </c>
      <c r="E68" s="13">
        <f>IF($B$3=0,0,B68/$B$3)</f>
        <v/>
      </c>
      <c r="F68" s="14">
        <f>IF(B68=0,"n/a",$B$3/B68)</f>
        <v/>
      </c>
      <c r="G68" s="15" t="n"/>
      <c r="H68" s="16" t="n"/>
      <c r="I68" s="17">
        <f>IF(H68="","",IF(H68&lt;=1,"n/a",($B$2-B68)/(H68-1)))</f>
        <v/>
      </c>
    </row>
    <row r="69">
      <c r="A69" s="11" t="inlineStr">
        <is>
          <t>Raw Material Spawn Gold Few</t>
        </is>
      </c>
      <c r="B69" s="12" t="n">
        <v>1</v>
      </c>
      <c r="C69" s="13">
        <f>IF($B$2=0,0,B69/$B$2)</f>
        <v/>
      </c>
      <c r="D69" s="14">
        <f>IF(B69=0,"n/a",$B$2/B69)</f>
        <v/>
      </c>
      <c r="E69" s="13">
        <f>IF($B$3=0,0,B69/$B$3)</f>
        <v/>
      </c>
      <c r="F69" s="14">
        <f>IF(B69=0,"n/a",$B$3/B69)</f>
        <v/>
      </c>
      <c r="G69" s="15" t="n"/>
      <c r="H69" s="16" t="n"/>
      <c r="I69" s="17">
        <f>IF(H69="","",IF(H69&lt;=1,"n/a",($B$2-B69)/(H69-1)))</f>
        <v/>
      </c>
    </row>
    <row r="70">
      <c r="A70" s="11" t="inlineStr">
        <is>
          <t>Raw Material Spawn Gold More</t>
        </is>
      </c>
      <c r="B70" s="12" t="n">
        <v>3</v>
      </c>
      <c r="C70" s="13">
        <f>IF($B$2=0,0,B70/$B$2)</f>
        <v/>
      </c>
      <c r="D70" s="14">
        <f>IF(B70=0,"n/a",$B$2/B70)</f>
        <v/>
      </c>
      <c r="E70" s="13">
        <f>IF($B$3=0,0,B70/$B$3)</f>
        <v/>
      </c>
      <c r="F70" s="14">
        <f>IF(B70=0,"n/a",$B$3/B70)</f>
        <v/>
      </c>
      <c r="G70" s="15" t="n"/>
      <c r="H70" s="16" t="n"/>
      <c r="I70" s="17">
        <f>IF(H70="","",IF(H70&lt;=1,"n/a",($B$2-B70)/(H70-1)))</f>
        <v/>
      </c>
    </row>
    <row r="71">
      <c r="A71" s="11" t="inlineStr">
        <is>
          <t>Raw Material Spawn Gold Many</t>
        </is>
      </c>
      <c r="B71" s="12" t="n">
        <v>8</v>
      </c>
      <c r="C71" s="13">
        <f>IF($B$2=0,0,B71/$B$2)</f>
        <v/>
      </c>
      <c r="D71" s="14">
        <f>IF(B71=0,"n/a",$B$2/B71)</f>
        <v/>
      </c>
      <c r="E71" s="13">
        <f>IF($B$3=0,0,B71/$B$3)</f>
        <v/>
      </c>
      <c r="F71" s="14">
        <f>IF(B71=0,"n/a",$B$3/B71)</f>
        <v/>
      </c>
      <c r="G71" s="15" t="n"/>
      <c r="H71" s="16" t="n"/>
      <c r="I71" s="17">
        <f>IF(H71="","",IF(H71&lt;=1,"n/a",($B$2-B71)/(H71-1)))</f>
        <v/>
      </c>
    </row>
    <row r="72">
      <c r="A72" s="11" t="inlineStr">
        <is>
          <t>Raw Material Spawn Plasma Few</t>
        </is>
      </c>
      <c r="B72" s="12" t="n">
        <v>1</v>
      </c>
      <c r="C72" s="13">
        <f>IF($B$2=0,0,B72/$B$2)</f>
        <v/>
      </c>
      <c r="D72" s="14">
        <f>IF(B72=0,"n/a",$B$2/B72)</f>
        <v/>
      </c>
      <c r="E72" s="13">
        <f>IF($B$3=0,0,B72/$B$3)</f>
        <v/>
      </c>
      <c r="F72" s="14">
        <f>IF(B72=0,"n/a",$B$3/B72)</f>
        <v/>
      </c>
      <c r="G72" s="15" t="n"/>
      <c r="H72" s="16" t="n"/>
      <c r="I72" s="17">
        <f>IF(H72="","",IF(H72&lt;=1,"n/a",($B$2-B72)/(H72-1)))</f>
        <v/>
      </c>
    </row>
    <row r="73">
      <c r="A73" s="11" t="inlineStr">
        <is>
          <t>Raw Material Spawn Plasma More</t>
        </is>
      </c>
      <c r="B73" s="12" t="n">
        <v>3</v>
      </c>
      <c r="C73" s="13">
        <f>IF($B$2=0,0,B73/$B$2)</f>
        <v/>
      </c>
      <c r="D73" s="14">
        <f>IF(B73=0,"n/a",$B$2/B73)</f>
        <v/>
      </c>
      <c r="E73" s="13">
        <f>IF($B$3=0,0,B73/$B$3)</f>
        <v/>
      </c>
      <c r="F73" s="14">
        <f>IF(B73=0,"n/a",$B$3/B73)</f>
        <v/>
      </c>
      <c r="G73" s="15" t="n"/>
      <c r="H73" s="16" t="n"/>
      <c r="I73" s="17">
        <f>IF(H73="","",IF(H73&lt;=1,"n/a",($B$2-B73)/(H73-1)))</f>
        <v/>
      </c>
    </row>
    <row r="74">
      <c r="A74" s="11" t="inlineStr">
        <is>
          <t>Raw Material Spawn Plasma Many</t>
        </is>
      </c>
      <c r="B74" s="12" t="n">
        <v>8</v>
      </c>
      <c r="C74" s="13">
        <f>IF($B$2=0,0,B74/$B$2)</f>
        <v/>
      </c>
      <c r="D74" s="14">
        <f>IF(B74=0,"n/a",$B$2/B74)</f>
        <v/>
      </c>
      <c r="E74" s="13">
        <f>IF($B$3=0,0,B74/$B$3)</f>
        <v/>
      </c>
      <c r="F74" s="14">
        <f>IF(B74=0,"n/a",$B$3/B74)</f>
        <v/>
      </c>
      <c r="G74" s="15" t="n"/>
      <c r="H74" s="16" t="n"/>
      <c r="I74" s="17">
        <f>IF(H74="","",IF(H74&lt;=1,"n/a",($B$2-B74)/(H74-1)))</f>
        <v/>
      </c>
    </row>
    <row r="75">
      <c r="A75" s="11" t="inlineStr">
        <is>
          <t>Raw Material Spawn Silver Few</t>
        </is>
      </c>
      <c r="B75" s="12" t="n">
        <v>1</v>
      </c>
      <c r="C75" s="13">
        <f>IF($B$2=0,0,B75/$B$2)</f>
        <v/>
      </c>
      <c r="D75" s="14">
        <f>IF(B75=0,"n/a",$B$2/B75)</f>
        <v/>
      </c>
      <c r="E75" s="13">
        <f>IF($B$3=0,0,B75/$B$3)</f>
        <v/>
      </c>
      <c r="F75" s="14">
        <f>IF(B75=0,"n/a",$B$3/B75)</f>
        <v/>
      </c>
      <c r="G75" s="15" t="n"/>
      <c r="H75" s="16" t="n"/>
      <c r="I75" s="17">
        <f>IF(H75="","",IF(H75&lt;=1,"n/a",($B$2-B75)/(H75-1)))</f>
        <v/>
      </c>
    </row>
    <row r="76">
      <c r="A76" s="11" t="inlineStr">
        <is>
          <t>Raw Material Spawn Silver More</t>
        </is>
      </c>
      <c r="B76" s="12" t="n">
        <v>3</v>
      </c>
      <c r="C76" s="13">
        <f>IF($B$2=0,0,B76/$B$2)</f>
        <v/>
      </c>
      <c r="D76" s="14">
        <f>IF(B76=0,"n/a",$B$2/B76)</f>
        <v/>
      </c>
      <c r="E76" s="13">
        <f>IF($B$3=0,0,B76/$B$3)</f>
        <v/>
      </c>
      <c r="F76" s="14">
        <f>IF(B76=0,"n/a",$B$3/B76)</f>
        <v/>
      </c>
      <c r="G76" s="15" t="n"/>
      <c r="H76" s="16" t="n"/>
      <c r="I76" s="17">
        <f>IF(H76="","",IF(H76&lt;=1,"n/a",($B$2-B76)/(H76-1)))</f>
        <v/>
      </c>
    </row>
    <row r="77">
      <c r="A77" s="11" t="inlineStr">
        <is>
          <t>Raw Material Spawn Silver Many</t>
        </is>
      </c>
      <c r="B77" s="12" t="n">
        <v>8</v>
      </c>
      <c r="C77" s="13">
        <f>IF($B$2=0,0,B77/$B$2)</f>
        <v/>
      </c>
      <c r="D77" s="14">
        <f>IF(B77=0,"n/a",$B$2/B77)</f>
        <v/>
      </c>
      <c r="E77" s="13">
        <f>IF($B$3=0,0,B77/$B$3)</f>
        <v/>
      </c>
      <c r="F77" s="14">
        <f>IF(B77=0,"n/a",$B$3/B77)</f>
        <v/>
      </c>
      <c r="G77" s="15" t="n"/>
      <c r="H77" s="16" t="n"/>
      <c r="I77" s="17">
        <f>IF(H77="","",IF(H77&lt;=1,"n/a",($B$2-B77)/(H77-1)))</f>
        <v/>
      </c>
    </row>
    <row r="78">
      <c r="A78" s="11" t="inlineStr">
        <is>
          <t>Raw Material Spawn Uranium Few</t>
        </is>
      </c>
      <c r="B78" s="12" t="n">
        <v>1</v>
      </c>
      <c r="C78" s="13">
        <f>IF($B$2=0,0,B78/$B$2)</f>
        <v/>
      </c>
      <c r="D78" s="14">
        <f>IF(B78=0,"n/a",$B$2/B78)</f>
        <v/>
      </c>
      <c r="E78" s="13">
        <f>IF($B$3=0,0,B78/$B$3)</f>
        <v/>
      </c>
      <c r="F78" s="14">
        <f>IF(B78=0,"n/a",$B$3/B78)</f>
        <v/>
      </c>
      <c r="G78" s="15" t="n"/>
      <c r="H78" s="16" t="n"/>
      <c r="I78" s="17">
        <f>IF(H78="","",IF(H78&lt;=1,"n/a",($B$2-B78)/(H78-1)))</f>
        <v/>
      </c>
    </row>
    <row r="79">
      <c r="A79" s="11" t="inlineStr">
        <is>
          <t>Raw Material Spawn Uranium More</t>
        </is>
      </c>
      <c r="B79" s="12" t="n">
        <v>3</v>
      </c>
      <c r="C79" s="13">
        <f>IF($B$2=0,0,B79/$B$2)</f>
        <v/>
      </c>
      <c r="D79" s="14">
        <f>IF(B79=0,"n/a",$B$2/B79)</f>
        <v/>
      </c>
      <c r="E79" s="13">
        <f>IF($B$3=0,0,B79/$B$3)</f>
        <v/>
      </c>
      <c r="F79" s="14">
        <f>IF(B79=0,"n/a",$B$3/B79)</f>
        <v/>
      </c>
      <c r="G79" s="15" t="n"/>
      <c r="H79" s="16" t="n"/>
      <c r="I79" s="17">
        <f>IF(H79="","",IF(H79&lt;=1,"n/a",($B$2-B79)/(H79-1)))</f>
        <v/>
      </c>
    </row>
    <row r="80">
      <c r="A80" s="11" t="inlineStr">
        <is>
          <t>Raw Material Spawn Uranium Many</t>
        </is>
      </c>
      <c r="B80" s="12" t="n">
        <v>8</v>
      </c>
      <c r="C80" s="13">
        <f>IF($B$2=0,0,B80/$B$2)</f>
        <v/>
      </c>
      <c r="D80" s="14">
        <f>IF(B80=0,"n/a",$B$2/B80)</f>
        <v/>
      </c>
      <c r="E80" s="13">
        <f>IF($B$3=0,0,B80/$B$3)</f>
        <v/>
      </c>
      <c r="F80" s="14">
        <f>IF(B80=0,"n/a",$B$3/B80)</f>
        <v/>
      </c>
      <c r="G80" s="15" t="n"/>
      <c r="H80" s="16" t="n"/>
      <c r="I80" s="17">
        <f>IF(H80="","",IF(H80&lt;=1,"n/a",($B$2-B80)/(H80-1)))</f>
        <v/>
      </c>
    </row>
    <row r="81">
      <c r="A81" s="11" t="inlineStr">
        <is>
          <t>Stealth</t>
        </is>
      </c>
      <c r="B81" s="12" t="n">
        <v>8</v>
      </c>
      <c r="C81" s="13">
        <f>IF($B$2=0,0,B81/$B$2)</f>
        <v/>
      </c>
      <c r="D81" s="14">
        <f>IF(B81=0,"n/a",$B$2/B81)</f>
        <v/>
      </c>
      <c r="E81" s="13">
        <f>IF($B$3=0,0,B81/$B$3)</f>
        <v/>
      </c>
      <c r="F81" s="14">
        <f>IF(B81=0,"n/a",$B$3/B81)</f>
        <v/>
      </c>
      <c r="G81" s="15" t="n"/>
      <c r="H81" s="16" t="n"/>
      <c r="I81" s="17">
        <f>IF(H81="","",IF(H81&lt;=1,"n/a",($B$2-B81)/(H81-1)))</f>
        <v/>
      </c>
    </row>
    <row r="82">
      <c r="A82" s="11" t="inlineStr">
        <is>
          <t>Teleport</t>
        </is>
      </c>
      <c r="B82" s="12" t="n">
        <v>3</v>
      </c>
      <c r="C82" s="13">
        <f>IF($B$2=0,0,B82/$B$2)</f>
        <v/>
      </c>
      <c r="D82" s="14">
        <f>IF(B82=0,"n/a",$B$2/B82)</f>
        <v/>
      </c>
      <c r="E82" s="13">
        <f>IF($B$3=0,0,B82/$B$3)</f>
        <v/>
      </c>
      <c r="F82" s="14">
        <f>IF(B82=0,"n/a",$B$3/B82)</f>
        <v/>
      </c>
      <c r="G82" s="15" t="n"/>
      <c r="H82" s="16" t="n"/>
      <c r="I82" s="17">
        <f>IF(H82="","",IF(H82&lt;=1,"n/a",($B$2-B82)/(H82-1)))</f>
        <v/>
      </c>
    </row>
    <row r="83">
      <c r="A83" s="11" t="inlineStr">
        <is>
          <t>Throw Things Around</t>
        </is>
      </c>
      <c r="B83" s="12" t="n">
        <v>3</v>
      </c>
      <c r="C83" s="13">
        <f>IF($B$2=0,0,B83/$B$2)</f>
        <v/>
      </c>
      <c r="D83" s="14">
        <f>IF(B83=0,"n/a",$B$2/B83)</f>
        <v/>
      </c>
      <c r="E83" s="13">
        <f>IF($B$3=0,0,B83/$B$3)</f>
        <v/>
      </c>
      <c r="F83" s="14">
        <f>IF(B83=0,"n/a",$B$3/B83)</f>
        <v/>
      </c>
      <c r="G83" s="15" t="n"/>
      <c r="H83" s="16" t="n"/>
      <c r="I83" s="17">
        <f>IF(H83="","",IF(H83&lt;=1,"n/a",($B$2-B83)/(H83-1)))</f>
        <v/>
      </c>
    </row>
    <row r="84">
      <c r="A84" s="11" t="inlineStr">
        <is>
          <t>Wandering</t>
        </is>
      </c>
      <c r="B84" s="12" t="n">
        <v>8</v>
      </c>
      <c r="C84" s="13">
        <f>IF($B$2=0,0,B84/$B$2)</f>
        <v/>
      </c>
      <c r="D84" s="14">
        <f>IF(B84=0,"n/a",$B$2/B84)</f>
        <v/>
      </c>
      <c r="E84" s="13">
        <f>IF($B$3=0,0,B84/$B$3)</f>
        <v/>
      </c>
      <c r="F84" s="14">
        <f>IF(B84=0,"n/a",$B$3/B84)</f>
        <v/>
      </c>
      <c r="G84" s="15" t="n"/>
      <c r="H84" s="16" t="n"/>
      <c r="I84" s="17">
        <f>IF(H84="","",IF(H84&lt;=1,"n/a",($B$2-B84)/(H84-1)))</f>
        <v/>
      </c>
    </row>
    <row r="85">
      <c r="A85" s="18" t="inlineStr">
        <is>
          <t>Speed Up</t>
        </is>
      </c>
      <c r="B85" s="12" t="n">
        <v>10</v>
      </c>
      <c r="C85" s="19" t="inlineStr">
        <is>
          <t>—</t>
        </is>
      </c>
      <c r="D85" s="19" t="inlineStr">
        <is>
          <t>—</t>
        </is>
      </c>
      <c r="E85" s="13">
        <f>IF($B$3=0,0,B85/$B$3)</f>
        <v/>
      </c>
      <c r="F85" s="14">
        <f>IF(B85=0,"n/a",$B$3/B85)</f>
        <v/>
      </c>
      <c r="G85" s="15" t="n"/>
      <c r="H85" s="16" t="n"/>
      <c r="I85" s="17">
        <f>IF(H85="","",IF(H85&lt;=1,"n/a",($B$3-B85)/(H85-1)))</f>
        <v/>
      </c>
    </row>
    <row r="86">
      <c r="A86" s="18" t="inlineStr">
        <is>
          <t>Tool Crowbar</t>
        </is>
      </c>
      <c r="B86" s="12" t="n">
        <v>0</v>
      </c>
      <c r="C86" s="19" t="inlineStr">
        <is>
          <t>—</t>
        </is>
      </c>
      <c r="D86" s="19" t="inlineStr">
        <is>
          <t>—</t>
        </is>
      </c>
      <c r="E86" s="13">
        <f>IF($B$3=0,0,B86/$B$3)</f>
        <v/>
      </c>
      <c r="F86" s="14">
        <f>IF(B86=0,"n/a",$B$3/B86)</f>
        <v/>
      </c>
      <c r="G86" s="15" t="n"/>
      <c r="H86" s="16" t="n"/>
      <c r="I86" s="17">
        <f>IF(H86="","",IF(H86&lt;=1,"n/a",($B$3-B86)/(H86-1)))</f>
        <v/>
      </c>
    </row>
    <row r="87">
      <c r="A87" s="18" t="inlineStr">
        <is>
          <t>Tool Screwdriver</t>
        </is>
      </c>
      <c r="B87" s="12" t="n">
        <v>0</v>
      </c>
      <c r="C87" s="19" t="inlineStr">
        <is>
          <t>—</t>
        </is>
      </c>
      <c r="D87" s="19" t="inlineStr">
        <is>
          <t>—</t>
        </is>
      </c>
      <c r="E87" s="13">
        <f>IF($B$3=0,0,B87/$B$3)</f>
        <v/>
      </c>
      <c r="F87" s="14">
        <f>IF(B87=0,"n/a",$B$3/B87)</f>
        <v/>
      </c>
      <c r="G87" s="15" t="n"/>
      <c r="H87" s="16" t="n"/>
      <c r="I87" s="17">
        <f>IF(H87="","",IF(H87&lt;=1,"n/a",($B$3-B87)/(H87-1)))</f>
        <v/>
      </c>
    </row>
    <row r="88">
      <c r="A88" s="18" t="inlineStr">
        <is>
          <t>Tool Wrench</t>
        </is>
      </c>
      <c r="B88" s="12" t="n">
        <v>0</v>
      </c>
      <c r="C88" s="19" t="inlineStr">
        <is>
          <t>—</t>
        </is>
      </c>
      <c r="D88" s="19" t="inlineStr">
        <is>
          <t>—</t>
        </is>
      </c>
      <c r="E88" s="13">
        <f>IF($B$3=0,0,B88/$B$3)</f>
        <v/>
      </c>
      <c r="F88" s="14">
        <f>IF(B88=0,"n/a",$B$3/B88)</f>
        <v/>
      </c>
      <c r="G88" s="15" t="n"/>
      <c r="H88" s="16" t="n"/>
      <c r="I88" s="17">
        <f>IF(H88="","",IF(H88&lt;=1,"n/a",($B$3-B88)/(H88-1)))</f>
        <v/>
      </c>
    </row>
    <row r="89">
      <c r="A89" s="18" t="inlineStr">
        <is>
          <t>Tool Wirecutter</t>
        </is>
      </c>
      <c r="B89" s="12" t="n">
        <v>0</v>
      </c>
      <c r="C89" s="19" t="inlineStr">
        <is>
          <t>—</t>
        </is>
      </c>
      <c r="D89" s="19" t="inlineStr">
        <is>
          <t>—</t>
        </is>
      </c>
      <c r="E89" s="13">
        <f>IF($B$3=0,0,B89/$B$3)</f>
        <v/>
      </c>
      <c r="F89" s="14">
        <f>IF(B89=0,"n/a",$B$3/B89)</f>
        <v/>
      </c>
      <c r="G89" s="15" t="n"/>
      <c r="H89" s="16" t="n"/>
      <c r="I89" s="17">
        <f>IF(H89="","",IF(H89&lt;=1,"n/a",($B$3-B89)/(H89-1)))</f>
        <v/>
      </c>
    </row>
    <row r="90">
      <c r="A90" s="18" t="inlineStr">
        <is>
          <t>Tool Jaws</t>
        </is>
      </c>
      <c r="B90" s="12" t="n">
        <v>3</v>
      </c>
      <c r="C90" s="19" t="inlineStr">
        <is>
          <t>—</t>
        </is>
      </c>
      <c r="D90" s="19" t="inlineStr">
        <is>
          <t>—</t>
        </is>
      </c>
      <c r="E90" s="13">
        <f>IF($B$3=0,0,B90/$B$3)</f>
        <v/>
      </c>
      <c r="F90" s="14">
        <f>IF(B90=0,"n/a",$B$3/B90)</f>
        <v/>
      </c>
      <c r="G90" s="15" t="n"/>
      <c r="H90" s="16" t="n"/>
      <c r="I90" s="17">
        <f>IF(H90="","",IF(H90&lt;=1,"n/a",($B$3-B90)/(H90-1)))</f>
        <v/>
      </c>
    </row>
    <row r="91">
      <c r="A91" s="18" t="inlineStr">
        <is>
          <t>Tool Power Drill</t>
        </is>
      </c>
      <c r="B91" s="12" t="n">
        <v>3</v>
      </c>
      <c r="C91" s="19" t="inlineStr">
        <is>
          <t>—</t>
        </is>
      </c>
      <c r="D91" s="19" t="inlineStr">
        <is>
          <t>—</t>
        </is>
      </c>
      <c r="E91" s="13">
        <f>IF($B$3=0,0,B91/$B$3)</f>
        <v/>
      </c>
      <c r="F91" s="14">
        <f>IF(B91=0,"n/a",$B$3/B91)</f>
        <v/>
      </c>
      <c r="G91" s="15" t="n"/>
      <c r="H91" s="16" t="n"/>
      <c r="I91" s="17">
        <f>IF(H91="","",IF(H91&lt;=1,"n/a",($B$3-B91)/(H91-1)))</f>
        <v/>
      </c>
    </row>
    <row r="92">
      <c r="A92" s="18" t="inlineStr">
        <is>
          <t>Tool Knife</t>
        </is>
      </c>
      <c r="B92" s="12" t="n">
        <v>3</v>
      </c>
      <c r="C92" s="19" t="inlineStr">
        <is>
          <t>—</t>
        </is>
      </c>
      <c r="D92" s="19" t="inlineStr">
        <is>
          <t>—</t>
        </is>
      </c>
      <c r="E92" s="13">
        <f>IF($B$3=0,0,B92/$B$3)</f>
        <v/>
      </c>
      <c r="F92" s="14">
        <f>IF(B92=0,"n/a",$B$3/B92)</f>
        <v/>
      </c>
      <c r="G92" s="15" t="n"/>
      <c r="H92" s="16" t="n"/>
      <c r="I92" s="17">
        <f>IF(H92="","",IF(H92&lt;=1,"n/a",($B$3-B92)/(H92-1)))</f>
        <v/>
      </c>
    </row>
    <row r="93">
      <c r="A93" s="18" t="inlineStr">
        <is>
          <t>Omnitool</t>
        </is>
      </c>
      <c r="B93" s="12" t="n">
        <v>8</v>
      </c>
      <c r="C93" s="19" t="inlineStr">
        <is>
          <t>—</t>
        </is>
      </c>
      <c r="D93" s="19" t="inlineStr">
        <is>
          <t>—</t>
        </is>
      </c>
      <c r="E93" s="13">
        <f>IF($B$3=0,0,B93/$B$3)</f>
        <v/>
      </c>
      <c r="F93" s="14">
        <f>IF(B93=0,"n/a",$B$3/B93)</f>
        <v/>
      </c>
      <c r="G93" s="15" t="n"/>
      <c r="H93" s="16" t="n"/>
      <c r="I93" s="17">
        <f>IF(H93="","",IF(H93&lt;=1,"n/a",($B$3-B93)/(H93-1)))</f>
        <v/>
      </c>
    </row>
    <row r="94">
      <c r="A94" s="18" t="inlineStr">
        <is>
          <t>Tool Drill</t>
        </is>
      </c>
      <c r="B94" s="12" t="n">
        <v>3</v>
      </c>
      <c r="C94" s="19" t="inlineStr">
        <is>
          <t>—</t>
        </is>
      </c>
      <c r="D94" s="19" t="inlineStr">
        <is>
          <t>—</t>
        </is>
      </c>
      <c r="E94" s="13">
        <f>IF($B$3=0,0,B94/$B$3)</f>
        <v/>
      </c>
      <c r="F94" s="14">
        <f>IF(B94=0,"n/a",$B$3/B94)</f>
        <v/>
      </c>
      <c r="G94" s="15" t="n"/>
      <c r="H94" s="16" t="n"/>
      <c r="I94" s="17">
        <f>IF(H94="","",IF(H94&lt;=1,"n/a",($B$3-B94)/(H94-1)))</f>
        <v/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2026-07-23T15:23:21Z</dcterms:created>
  <dcterms:modified xmlns:dcterms="http://purl.org/dc/terms/" xmlns:xsi="http://www.w3.org/2001/XMLSchema-instance" xsi:type="dcterms:W3CDTF">2026-07-23T15:23:21Z</dcterms:modified>
</cp:coreProperties>
</file>