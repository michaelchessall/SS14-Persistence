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riggers" sheetId="2" state="visible" r:id="rId2"/>
    <sheet xmlns:r="http://schemas.openxmlformats.org/officeDocument/2006/relationships" name="Effects Root" sheetId="3" state="visible" r:id="rId3"/>
    <sheet xmlns:r="http://schemas.openxmlformats.org/officeDocument/2006/relationships" name="Effects Main" sheetId="4" state="visible" r:id="rId4"/>
    <sheet xmlns:r="http://schemas.openxmlformats.org/officeDocument/2006/relationships" name="Effects Deep" sheetId="5" state="visible" r:id="rId5"/>
    <sheet xmlns:r="http://schemas.openxmlformats.org/officeDocument/2006/relationships" name="Effects Root-Handheld" sheetId="6" state="visible" r:id="rId6"/>
    <sheet xmlns:r="http://schemas.openxmlformats.org/officeDocument/2006/relationships" name="Effects Main-Handheld" sheetId="7" state="visible" r:id="rId7"/>
    <sheet xmlns:r="http://schemas.openxmlformats.org/officeDocument/2006/relationships" name="Effects Deep-Handhel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##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305496"/>
      <sz val="14"/>
    </font>
    <font>
      <name val="Arial"/>
      <color rgb="00000000"/>
      <sz val="11"/>
    </font>
    <font>
      <name val="Arial"/>
      <b val="1"/>
      <color rgb="00305496"/>
      <sz val="12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808080"/>
      <sz val="10"/>
    </font>
    <font>
      <name val="Arial"/>
      <color rgb="000000FF"/>
      <sz val="11"/>
    </font>
    <font>
      <name val="Arial"/>
      <color rgb="007030A0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0" borderId="1" pivotButton="0" quotePrefix="0" xfId="0"/>
    <xf numFmtId="164" fontId="7" fillId="3" borderId="1" pivotButton="0" quotePrefix="0" xfId="0"/>
    <xf numFmtId="165" fontId="2" fillId="0" borderId="1" pivotButton="0" quotePrefix="0" xfId="0"/>
    <xf numFmtId="165" fontId="8" fillId="4" borderId="1" pivotButton="0" quotePrefix="0" xfId="0"/>
    <xf numFmtId="2" fontId="2" fillId="0" borderId="1" pivotButton="0" quotePrefix="0" xfId="0"/>
    <xf numFmtId="0" fontId="0" fillId="5" borderId="1" pivotButton="0" quotePrefix="0" xfId="0"/>
    <xf numFmtId="0" fontId="9" fillId="5" borderId="1" applyAlignment="1" pivotButton="0" quotePrefix="0" xfId="0">
      <alignment horizontal="right"/>
    </xf>
    <xf numFmtId="164" fontId="9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balance</author>
  </authors>
  <commentList>
    <comment ref="D1" authorId="0" shapeId="0">
      <text>
        <t>Auto: how often this entry is picked, on average once per X selections from this table. = TotalWeight / Weight.</t>
      </text>
    </comment>
    <comment ref="E1" authorId="0" shapeId="0">
      <text>
        <t>YOU EDIT (optional): the frequency you WANT (once every X). Leave blank to ignore.</t>
      </text>
    </comment>
    <comment ref="F1" authorId="0" shapeId="0">
      <text>
        <t>Auto: the Weight you'd need in column C to hit your Target, keeping every OTHER row's weight as-is. Type this value into column C to apply it.</t>
      </text>
    </comment>
  </commentList>
</comments>
</file>

<file path=xl/comments/comment2.xml><?xml version="1.0" encoding="utf-8"?>
<comments xmlns="http://schemas.openxmlformats.org/spreadsheetml/2006/main">
  <authors>
    <author>balance</author>
  </authors>
  <commentList>
    <comment ref="D1" authorId="0" shapeId="0">
      <text>
        <t>Auto: how often this entry is picked, on average once per X selections from this table. = TotalWeight / Weight.</t>
      </text>
    </comment>
    <comment ref="E1" authorId="0" shapeId="0">
      <text>
        <t>YOU EDIT (optional): the frequency you WANT (once every X). Leave blank to ignore.</t>
      </text>
    </comment>
    <comment ref="F1" authorId="0" shapeId="0">
      <text>
        <t>Auto: the Weight you'd need in column C to hit your Target, keeping every OTHER row's weight as-is. Type this value into column C to apply it.</t>
      </text>
    </comment>
  </commentList>
</comments>
</file>

<file path=xl/comments/comment3.xml><?xml version="1.0" encoding="utf-8"?>
<comments xmlns="http://schemas.openxmlformats.org/spreadsheetml/2006/main">
  <authors>
    <author>balance</author>
  </authors>
  <commentList>
    <comment ref="D1" authorId="0" shapeId="0">
      <text>
        <t>Auto: how often this entry is picked, on average once per X selections from this table. = TotalWeight / Weight.</t>
      </text>
    </comment>
    <comment ref="E1" authorId="0" shapeId="0">
      <text>
        <t>YOU EDIT (optional): the frequency you WANT (once every X). Leave blank to ignore.</t>
      </text>
    </comment>
    <comment ref="F1" authorId="0" shapeId="0">
      <text>
        <t>Auto: the Weight you'd need in column C to hit your Target, keeping every OTHER row's weight as-is. Type this value into column C to apply it.</t>
      </text>
    </comment>
  </commentList>
</comments>
</file>

<file path=xl/comments/comment4.xml><?xml version="1.0" encoding="utf-8"?>
<comments xmlns="http://schemas.openxmlformats.org/spreadsheetml/2006/main">
  <authors>
    <author>balance</author>
  </authors>
  <commentList>
    <comment ref="D1" authorId="0" shapeId="0">
      <text>
        <t>Auto: how often this entry is picked, on average once per X selections from this table. = TotalWeight / Weight.</t>
      </text>
    </comment>
    <comment ref="E1" authorId="0" shapeId="0">
      <text>
        <t>YOU EDIT (optional): the frequency you WANT (once every X). Leave blank to ignore.</t>
      </text>
    </comment>
    <comment ref="F1" authorId="0" shapeId="0">
      <text>
        <t>Auto: the Weight you'd need in column C to hit your Target, keeping every OTHER row's weight as-is. Type this value into column C to apply it.</t>
      </text>
    </comment>
  </commentList>
</comments>
</file>

<file path=xl/comments/comment5.xml><?xml version="1.0" encoding="utf-8"?>
<comments xmlns="http://schemas.openxmlformats.org/spreadsheetml/2006/main">
  <authors>
    <author>balance</author>
  </authors>
  <commentList>
    <comment ref="D1" authorId="0" shapeId="0">
      <text>
        <t>Auto: how often this entry is picked, on average once per X selections from this table. = TotalWeight / Weight.</t>
      </text>
    </comment>
    <comment ref="E1" authorId="0" shapeId="0">
      <text>
        <t>YOU EDIT (optional): the frequency you WANT (once every X). Leave blank to ignore.</t>
      </text>
    </comment>
    <comment ref="F1" authorId="0" shapeId="0">
      <text>
        <t>Auto: the Weight you'd need in column C to hit your Target, keeping every OTHER row's weight as-is. Type this value into column C to apply it.</t>
      </text>
    </comment>
  </commentList>
</comments>
</file>

<file path=xl/comments/comment6.xml><?xml version="1.0" encoding="utf-8"?>
<comments xmlns="http://schemas.openxmlformats.org/spreadsheetml/2006/main">
  <authors>
    <author>balance</author>
  </authors>
  <commentList>
    <comment ref="D1" authorId="0" shapeId="0">
      <text>
        <t>Auto: how often this entry is picked, on average once per X selections from this table. = TotalWeight / Weight.</t>
      </text>
    </comment>
    <comment ref="E1" authorId="0" shapeId="0">
      <text>
        <t>YOU EDIT (optional): the frequency you WANT (once every X). Leave blank to ignore.</t>
      </text>
    </comment>
    <comment ref="F1" authorId="0" shapeId="0">
      <text>
        <t>Auto: the Weight you'd need in column C to hit your Target, keeping every OTHER row's weight as-is. Type this value into column C to apply it.</t>
      </text>
    </comment>
  </commentList>
</comments>
</file>

<file path=xl/comments/comment7.xml><?xml version="1.0" encoding="utf-8"?>
<comments xmlns="http://schemas.openxmlformats.org/spreadsheetml/2006/main">
  <authors>
    <author>balance</author>
  </authors>
  <commentList>
    <comment ref="D1" authorId="0" shapeId="0">
      <text>
        <t>Auto: how often this entry is picked, on average once per X selections from this table. = TotalWeight / Weight.</t>
      </text>
    </comment>
    <comment ref="E1" authorId="0" shapeId="0">
      <text>
        <t>YOU EDIT (optional): the frequency you WANT (once every X). Leave blank to ignore.</t>
      </text>
    </comment>
    <comment ref="F1" authorId="0" shapeId="0">
      <text>
        <t>Auto: the Weight you'd need in column C to hit your Target, keeping every OTHER row's weight as-is. Type this value into column C to apply 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Artifact trigger &amp; effect balancing</t>
        </is>
      </c>
    </row>
    <row r="2">
      <c r="A2" s="2" t="inlineStr"/>
    </row>
    <row r="3">
      <c r="A3" s="3" t="inlineStr">
        <is>
          <t>How to use</t>
        </is>
      </c>
    </row>
    <row r="4">
      <c r="A4" s="2" t="inlineStr">
        <is>
          <t>• Edit only the shaded cells: WEIGHT (blue text, yellow fill) and TARGET: 1 in X (purple text).</t>
        </is>
      </c>
    </row>
    <row r="5">
      <c r="A5" s="2" t="inlineStr">
        <is>
          <t>• 'Appears ~1 in X' updates automatically = TotalWeight / Weight for that table.</t>
        </is>
      </c>
    </row>
    <row r="6">
      <c r="A6" s="2" t="inlineStr">
        <is>
          <t>• Want something to appear once every Y picks? Type Y into 'Target: 1 in X'.</t>
        </is>
      </c>
    </row>
    <row r="7">
      <c r="A7" s="2" t="inlineStr">
        <is>
          <t xml:space="preserve">  'Suggested weight' then shows the Weight to enter — it holds every other row fixed.</t>
        </is>
      </c>
    </row>
    <row r="8">
      <c r="A8" s="2" t="inlineStr">
        <is>
          <t xml:space="preserve">  Copy that number into the Weight column to apply it, then re-check the other rows.</t>
        </is>
      </c>
    </row>
    <row r="9">
      <c r="A9" s="2" t="inlineStr"/>
    </row>
    <row r="10">
      <c r="A10" s="3" t="inlineStr">
        <is>
          <t>What 'X' means</t>
        </is>
      </c>
    </row>
    <row r="11">
      <c r="A11" s="2" t="inlineStr">
        <is>
          <t>• X = average number of selections from THIS table before this entry comes up once.</t>
        </is>
      </c>
    </row>
    <row r="12">
      <c r="A12" s="2" t="inlineStr">
        <is>
          <t>• Effects CAN repeat: each effect slot on an artifact is an independent draw from the</t>
        </is>
      </c>
    </row>
    <row r="13">
      <c r="A13" s="2" t="inlineStr">
        <is>
          <t xml:space="preserve">  table, so X reads directly as 'one per X effect rolls'.</t>
        </is>
      </c>
    </row>
    <row r="14">
      <c r="A14" s="2" t="inlineStr">
        <is>
          <t>• Triggers do NOT repeat within an artifact: X is the relative pick-frequency; the true</t>
        </is>
      </c>
    </row>
    <row r="15">
      <c r="A15" s="2" t="inlineStr">
        <is>
          <t xml:space="preserve">  per-artifact odds also depend on how many trigger slots an artifact rolls, but the</t>
        </is>
      </c>
    </row>
    <row r="16">
      <c r="A16" s="2" t="inlineStr">
        <is>
          <t xml:space="preserve">  weights balance against each other exactly as shown.</t>
        </is>
      </c>
    </row>
    <row r="17">
      <c r="A17" s="2" t="inlineStr"/>
    </row>
    <row r="18">
      <c r="A18" s="3" t="inlineStr">
        <is>
          <t>Tabs</t>
        </is>
      </c>
    </row>
    <row r="19">
      <c r="A19" s="2" t="inlineStr">
        <is>
          <t>• Triggers — the DefaultTriggers pool (triggers.yml).</t>
        </is>
      </c>
    </row>
    <row r="20">
      <c r="A20" s="2" t="inlineStr">
        <is>
          <t>• Effects Root / Main / Deep — node-depth effect pools (effect_tables.yml).</t>
        </is>
      </c>
    </row>
    <row r="21">
      <c r="A21" s="2" t="inlineStr">
        <is>
          <t>• Effects *-Handheld — extra pools added ONLY for handheld artifacts, on top of the</t>
        </is>
      </c>
    </row>
    <row r="22">
      <c r="A22" s="2" t="inlineStr">
        <is>
          <t xml:space="preserve">  matching depth pool above.</t>
        </is>
      </c>
    </row>
    <row r="23">
      <c r="A23" s="2" t="inlineStr"/>
    </row>
    <row r="24">
      <c r="A24" s="4" t="inlineStr">
        <is>
          <t>Source: Resources/Prototypes/XenoArch/triggers.yml &amp; effect_tables.yml (staging-stable).</t>
        </is>
      </c>
    </row>
    <row r="25">
      <c r="A25" s="4" t="inlineStr">
        <is>
          <t>Note: the live totals here differ from the '# Total weights' comments in effect_tables.yml</t>
        </is>
      </c>
    </row>
    <row r="26">
      <c r="A26" s="4" t="inlineStr">
        <is>
          <t>(e.g. Main 481 vs 505, Deep 369 vs 417) — those comments had drifted out of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1" customWidth="1" min="3" max="3"/>
    <col width="15" customWidth="1" min="4" max="4"/>
    <col width="14" customWidth="1" min="5" max="5"/>
    <col width="16" customWidth="1" min="6" max="6"/>
  </cols>
  <sheetData>
    <row r="1" ht="30" customHeight="1">
      <c r="A1" s="5" t="inlineStr">
        <is>
          <t>ID (do not edit)</t>
        </is>
      </c>
      <c r="B1" s="5" t="inlineStr">
        <is>
          <t>Description</t>
        </is>
      </c>
      <c r="C1" s="5" t="inlineStr">
        <is>
          <t>Weight</t>
        </is>
      </c>
      <c r="D1" s="5" t="inlineStr">
        <is>
          <t>Appears ~1 in X</t>
        </is>
      </c>
      <c r="E1" s="5" t="inlineStr">
        <is>
          <t>Target: 1 in X</t>
        </is>
      </c>
      <c r="F1" s="5" t="inlineStr">
        <is>
          <t>Suggested weight</t>
        </is>
      </c>
    </row>
    <row r="2">
      <c r="A2" s="6" t="inlineStr">
        <is>
          <t>TriggerMusic</t>
        </is>
      </c>
      <c r="B2" s="7" t="inlineStr">
        <is>
          <t>Harmonical sound vibrations</t>
        </is>
      </c>
      <c r="C2" s="8" t="n">
        <v>1</v>
      </c>
      <c r="D2" s="9">
        <f>IF(C2=0,"never",ROUND(SUM($C$2:$C$50)/C2,1))</f>
        <v/>
      </c>
      <c r="E2" s="10" t="n"/>
      <c r="F2" s="11">
        <f>IF(OR(E2="",E2&lt;=1),"",ROUND((SUM($C$2:$C$50)-C2)/(E2-1),2))</f>
        <v/>
      </c>
    </row>
    <row r="3">
      <c r="A3" s="6" t="inlineStr">
        <is>
          <t>TriggerHeat</t>
        </is>
      </c>
      <c r="B3" s="7" t="inlineStr">
        <is>
          <t>High temperature gas</t>
        </is>
      </c>
      <c r="C3" s="8" t="n">
        <v>1</v>
      </c>
      <c r="D3" s="9">
        <f>IF(C3=0,"never",ROUND(SUM($C$2:$C$50)/C3,1))</f>
        <v/>
      </c>
      <c r="E3" s="10" t="n"/>
      <c r="F3" s="11">
        <f>IF(OR(E3="",E3&lt;=1),"",ROUND((SUM($C$2:$C$50)-C3)/(E3-1),2))</f>
        <v/>
      </c>
    </row>
    <row r="4">
      <c r="A4" s="6" t="inlineStr">
        <is>
          <t>TriggerCold</t>
        </is>
      </c>
      <c r="B4" s="7" t="inlineStr">
        <is>
          <t>Low temperature gas</t>
        </is>
      </c>
      <c r="C4" s="8" t="n">
        <v>0.5</v>
      </c>
      <c r="D4" s="9">
        <f>IF(C4=0,"never",ROUND(SUM($C$2:$C$50)/C4,1))</f>
        <v/>
      </c>
      <c r="E4" s="10" t="n"/>
      <c r="F4" s="11">
        <f>IF(OR(E4="",E4&lt;=1),"",ROUND((SUM($C$2:$C$50)-C4)/(E4-1),2))</f>
        <v/>
      </c>
    </row>
    <row r="5">
      <c r="A5" s="6" t="inlineStr">
        <is>
          <t>TriggerNoOxygen</t>
        </is>
      </c>
      <c r="B5" s="7" t="inlineStr">
        <is>
          <t>Oxygen-free environment</t>
        </is>
      </c>
      <c r="C5" s="8" t="n">
        <v>1</v>
      </c>
      <c r="D5" s="9">
        <f>IF(C5=0,"never",ROUND(SUM($C$2:$C$50)/C5,1))</f>
        <v/>
      </c>
      <c r="E5" s="10" t="n"/>
      <c r="F5" s="11">
        <f>IF(OR(E5="",E5&lt;=1),"",ROUND((SUM($C$2:$C$50)-C5)/(E5-1),2))</f>
        <v/>
      </c>
    </row>
    <row r="6">
      <c r="A6" s="6" t="inlineStr">
        <is>
          <t>TriggerWater</t>
        </is>
      </c>
      <c r="B6" s="7" t="inlineStr">
        <is>
          <t>Water</t>
        </is>
      </c>
      <c r="C6" s="8" t="n">
        <v>1</v>
      </c>
      <c r="D6" s="9">
        <f>IF(C6=0,"never",ROUND(SUM($C$2:$C$50)/C6,1))</f>
        <v/>
      </c>
      <c r="E6" s="10" t="n"/>
      <c r="F6" s="11">
        <f>IF(OR(E6="",E6&lt;=1),"",ROUND((SUM($C$2:$C$50)-C6)/(E6-1),2))</f>
        <v/>
      </c>
    </row>
    <row r="7">
      <c r="A7" s="6" t="inlineStr">
        <is>
          <t>TriggerCO2</t>
        </is>
      </c>
      <c r="B7" s="7" t="inlineStr">
        <is>
          <t>Carbon dioxide</t>
        </is>
      </c>
      <c r="C7" s="8" t="n">
        <v>0.5</v>
      </c>
      <c r="D7" s="9">
        <f>IF(C7=0,"never",ROUND(SUM($C$2:$C$50)/C7,1))</f>
        <v/>
      </c>
      <c r="E7" s="10" t="n"/>
      <c r="F7" s="11">
        <f>IF(OR(E7="",E7&lt;=1),"",ROUND((SUM($C$2:$C$50)-C7)/(E7-1),2))</f>
        <v/>
      </c>
    </row>
    <row r="8">
      <c r="A8" s="6" t="inlineStr">
        <is>
          <t>TriggerPlasma</t>
        </is>
      </c>
      <c r="B8" s="7" t="inlineStr">
        <is>
          <t>Non-solid plasma</t>
        </is>
      </c>
      <c r="C8" s="8" t="n">
        <v>0.5</v>
      </c>
      <c r="D8" s="9">
        <f>IF(C8=0,"never",ROUND(SUM($C$2:$C$50)/C8,1))</f>
        <v/>
      </c>
      <c r="E8" s="10" t="n"/>
      <c r="F8" s="11">
        <f>IF(OR(E8="",E8&lt;=1),"",ROUND((SUM($C$2:$C$50)-C8)/(E8-1),2))</f>
        <v/>
      </c>
    </row>
    <row r="9">
      <c r="A9" s="6" t="inlineStr">
        <is>
          <t>TriggerN2O</t>
        </is>
      </c>
      <c r="B9" s="7" t="inlineStr">
        <is>
          <t>Nitrous oxide</t>
        </is>
      </c>
      <c r="C9" s="8" t="n">
        <v>0.5</v>
      </c>
      <c r="D9" s="9">
        <f>IF(C9=0,"never",ROUND(SUM($C$2:$C$50)/C9,1))</f>
        <v/>
      </c>
      <c r="E9" s="10" t="n"/>
      <c r="F9" s="11">
        <f>IF(OR(E9="",E9&lt;=1),"",ROUND((SUM($C$2:$C$50)-C9)/(E9-1),2))</f>
        <v/>
      </c>
    </row>
    <row r="10">
      <c r="A10" s="6" t="inlineStr">
        <is>
          <t>TriggerTritium</t>
        </is>
      </c>
      <c r="B10" s="7" t="inlineStr">
        <is>
          <t>Tritium</t>
        </is>
      </c>
      <c r="C10" s="8" t="n">
        <v>0.1</v>
      </c>
      <c r="D10" s="9">
        <f>IF(C10=0,"never",ROUND(SUM($C$2:$C$50)/C10,1))</f>
        <v/>
      </c>
      <c r="E10" s="10" t="n"/>
      <c r="F10" s="11">
        <f>IF(OR(E10="",E10&lt;=1),"",ROUND((SUM($C$2:$C$50)-C10)/(E10-1),2))</f>
        <v/>
      </c>
    </row>
    <row r="11">
      <c r="A11" s="6" t="inlineStr">
        <is>
          <t>TriggerAmmonia</t>
        </is>
      </c>
      <c r="B11" s="7" t="inlineStr">
        <is>
          <t>Ammonia</t>
        </is>
      </c>
      <c r="C11" s="8" t="n">
        <v>0.1</v>
      </c>
      <c r="D11" s="9">
        <f>IF(C11=0,"never",ROUND(SUM($C$2:$C$50)/C11,1))</f>
        <v/>
      </c>
      <c r="E11" s="10" t="n"/>
      <c r="F11" s="11">
        <f>IF(OR(E11="",E11&lt;=1),"",ROUND((SUM($C$2:$C$50)-C11)/(E11-1),2))</f>
        <v/>
      </c>
    </row>
    <row r="12">
      <c r="A12" s="6" t="inlineStr">
        <is>
          <t>TriggerFrezon</t>
        </is>
      </c>
      <c r="B12" s="7" t="inlineStr">
        <is>
          <t>Frezon</t>
        </is>
      </c>
      <c r="C12" s="8" t="n">
        <v>0.1</v>
      </c>
      <c r="D12" s="9">
        <f>IF(C12=0,"never",ROUND(SUM($C$2:$C$50)/C12,1))</f>
        <v/>
      </c>
      <c r="E12" s="10" t="n"/>
      <c r="F12" s="11">
        <f>IF(OR(E12="",E12&lt;=1),"",ROUND((SUM($C$2:$C$50)-C12)/(E12-1),2))</f>
        <v/>
      </c>
    </row>
    <row r="13">
      <c r="A13" s="6" t="inlineStr">
        <is>
          <t>TriggerRadiation</t>
        </is>
      </c>
      <c r="B13" s="7" t="inlineStr">
        <is>
          <t>Radiation</t>
        </is>
      </c>
      <c r="C13" s="8" t="n">
        <v>1</v>
      </c>
      <c r="D13" s="9">
        <f>IF(C13=0,"never",ROUND(SUM($C$2:$C$50)/C13,1))</f>
        <v/>
      </c>
      <c r="E13" s="10" t="n"/>
      <c r="F13" s="11">
        <f>IF(OR(E13="",E13&lt;=1),"",ROUND((SUM($C$2:$C$50)-C13)/(E13-1),2))</f>
        <v/>
      </c>
    </row>
    <row r="14">
      <c r="A14" s="6" t="inlineStr">
        <is>
          <t>TriggerPressureHigh</t>
        </is>
      </c>
      <c r="B14" s="7" t="inlineStr">
        <is>
          <t>High pressure</t>
        </is>
      </c>
      <c r="C14" s="8" t="n">
        <v>0.5</v>
      </c>
      <c r="D14" s="9">
        <f>IF(C14=0,"never",ROUND(SUM($C$2:$C$50)/C14,1))</f>
        <v/>
      </c>
      <c r="E14" s="10" t="n"/>
      <c r="F14" s="11">
        <f>IF(OR(E14="",E14&lt;=1),"",ROUND((SUM($C$2:$C$50)-C14)/(E14-1),2))</f>
        <v/>
      </c>
    </row>
    <row r="15">
      <c r="A15" s="6" t="inlineStr">
        <is>
          <t>TriggerPressureLow</t>
        </is>
      </c>
      <c r="B15" s="7" t="inlineStr">
        <is>
          <t>Low pressure</t>
        </is>
      </c>
      <c r="C15" s="8" t="n">
        <v>1</v>
      </c>
      <c r="D15" s="9">
        <f>IF(C15=0,"never",ROUND(SUM($C$2:$C$50)/C15,1))</f>
        <v/>
      </c>
      <c r="E15" s="10" t="n"/>
      <c r="F15" s="11">
        <f>IF(OR(E15="",E15&lt;=1),"",ROUND((SUM($C$2:$C$50)-C15)/(E15-1),2))</f>
        <v/>
      </c>
    </row>
    <row r="16">
      <c r="A16" s="6" t="inlineStr">
        <is>
          <t>TriggerExamine</t>
        </is>
      </c>
      <c r="B16" s="7" t="inlineStr">
        <is>
          <t>Close inspection</t>
        </is>
      </c>
      <c r="C16" s="8" t="n">
        <v>1</v>
      </c>
      <c r="D16" s="9">
        <f>IF(C16=0,"never",ROUND(SUM($C$2:$C$50)/C16,1))</f>
        <v/>
      </c>
      <c r="E16" s="10" t="n"/>
      <c r="F16" s="11">
        <f>IF(OR(E16="",E16&lt;=1),"",ROUND((SUM($C$2:$C$50)-C16)/(E16-1),2))</f>
        <v/>
      </c>
    </row>
    <row r="17">
      <c r="A17" s="6" t="inlineStr">
        <is>
          <t>TriggerLaugh</t>
        </is>
      </c>
      <c r="B17" s="7" t="inlineStr">
        <is>
          <t>Laughter</t>
        </is>
      </c>
      <c r="C17" s="8" t="n">
        <v>1</v>
      </c>
      <c r="D17" s="9">
        <f>IF(C17=0,"never",ROUND(SUM($C$2:$C$50)/C17,1))</f>
        <v/>
      </c>
      <c r="E17" s="10" t="n"/>
      <c r="F17" s="11">
        <f>IF(OR(E17="",E17&lt;=1),"",ROUND((SUM($C$2:$C$50)-C17)/(E17-1),2))</f>
        <v/>
      </c>
    </row>
    <row r="18">
      <c r="A18" s="6" t="inlineStr">
        <is>
          <t>TriggerSigh</t>
        </is>
      </c>
      <c r="B18" s="7" t="inlineStr">
        <is>
          <t>A weary sigh</t>
        </is>
      </c>
      <c r="C18" s="8" t="n">
        <v>1</v>
      </c>
      <c r="D18" s="9">
        <f>IF(C18=0,"never",ROUND(SUM($C$2:$C$50)/C18,1))</f>
        <v/>
      </c>
      <c r="E18" s="10" t="n"/>
      <c r="F18" s="11">
        <f>IF(OR(E18="",E18&lt;=1),"",ROUND((SUM($C$2:$C$50)-C18)/(E18-1),2))</f>
        <v/>
      </c>
    </row>
    <row r="19">
      <c r="A19" s="6" t="inlineStr">
        <is>
          <t>TriggerSneeze</t>
        </is>
      </c>
      <c r="B19" s="7" t="inlineStr">
        <is>
          <t>A sneeze</t>
        </is>
      </c>
      <c r="C19" s="8" t="n">
        <v>1</v>
      </c>
      <c r="D19" s="9">
        <f>IF(C19=0,"never",ROUND(SUM($C$2:$C$50)/C19,1))</f>
        <v/>
      </c>
      <c r="E19" s="10" t="n"/>
      <c r="F19" s="11">
        <f>IF(OR(E19="",E19&lt;=1),"",ROUND((SUM($C$2:$C$50)-C19)/(E19-1),2))</f>
        <v/>
      </c>
    </row>
    <row r="20">
      <c r="A20" s="6" t="inlineStr">
        <is>
          <t>TriggerCough</t>
        </is>
      </c>
      <c r="B20" s="7" t="inlineStr">
        <is>
          <t>A cough</t>
        </is>
      </c>
      <c r="C20" s="8" t="n">
        <v>1</v>
      </c>
      <c r="D20" s="9">
        <f>IF(C20=0,"never",ROUND(SUM($C$2:$C$50)/C20,1))</f>
        <v/>
      </c>
      <c r="E20" s="10" t="n"/>
      <c r="F20" s="11">
        <f>IF(OR(E20="",E20&lt;=1),"",ROUND((SUM($C$2:$C$50)-C20)/(E20-1),2))</f>
        <v/>
      </c>
    </row>
    <row r="21">
      <c r="A21" s="6" t="inlineStr">
        <is>
          <t>TriggerWhistle</t>
        </is>
      </c>
      <c r="B21" s="7" t="inlineStr">
        <is>
          <t>Whistling</t>
        </is>
      </c>
      <c r="C21" s="8" t="n">
        <v>1</v>
      </c>
      <c r="D21" s="9">
        <f>IF(C21=0,"never",ROUND(SUM($C$2:$C$50)/C21,1))</f>
        <v/>
      </c>
      <c r="E21" s="10" t="n"/>
      <c r="F21" s="11">
        <f>IF(OR(E21="",E21&lt;=1),"",ROUND((SUM($C$2:$C$50)-C21)/(E21-1),2))</f>
        <v/>
      </c>
    </row>
    <row r="22">
      <c r="A22" s="6" t="inlineStr">
        <is>
          <t>TriggerCry</t>
        </is>
      </c>
      <c r="B22" s="7" t="inlineStr">
        <is>
          <t>Tears</t>
        </is>
      </c>
      <c r="C22" s="8" t="n">
        <v>1</v>
      </c>
      <c r="D22" s="9">
        <f>IF(C22=0,"never",ROUND(SUM($C$2:$C$50)/C22,1))</f>
        <v/>
      </c>
      <c r="E22" s="10" t="n"/>
      <c r="F22" s="11">
        <f>IF(OR(E22="",E22&lt;=1),"",ROUND((SUM($C$2:$C$50)-C22)/(E22-1),2))</f>
        <v/>
      </c>
    </row>
    <row r="23">
      <c r="A23" s="6" t="inlineStr">
        <is>
          <t>TriggerClap</t>
        </is>
      </c>
      <c r="B23" s="7" t="inlineStr">
        <is>
          <t>Applause</t>
        </is>
      </c>
      <c r="C23" s="8" t="n">
        <v>1</v>
      </c>
      <c r="D23" s="9">
        <f>IF(C23=0,"never",ROUND(SUM($C$2:$C$50)/C23,1))</f>
        <v/>
      </c>
      <c r="E23" s="10" t="n"/>
      <c r="F23" s="11">
        <f>IF(OR(E23="",E23&lt;=1),"",ROUND((SUM($C$2:$C$50)-C23)/(E23-1),2))</f>
        <v/>
      </c>
    </row>
    <row r="24">
      <c r="A24" s="6" t="inlineStr">
        <is>
          <t>TriggerYawn</t>
        </is>
      </c>
      <c r="B24" s="7" t="inlineStr">
        <is>
          <t>A yawn</t>
        </is>
      </c>
      <c r="C24" s="8" t="n">
        <v>1</v>
      </c>
      <c r="D24" s="9">
        <f>IF(C24=0,"never",ROUND(SUM($C$2:$C$50)/C24,1))</f>
        <v/>
      </c>
      <c r="E24" s="10" t="n"/>
      <c r="F24" s="11">
        <f>IF(OR(E24="",E24&lt;=1),"",ROUND((SUM($C$2:$C$50)-C24)/(E24-1),2))</f>
        <v/>
      </c>
    </row>
    <row r="25">
      <c r="A25" s="6" t="inlineStr">
        <is>
          <t>TriggerScream</t>
        </is>
      </c>
      <c r="B25" s="7" t="inlineStr">
        <is>
          <t>A scream</t>
        </is>
      </c>
      <c r="C25" s="8" t="n">
        <v>1</v>
      </c>
      <c r="D25" s="9">
        <f>IF(C25=0,"never",ROUND(SUM($C$2:$C$50)/C25,1))</f>
        <v/>
      </c>
      <c r="E25" s="10" t="n"/>
      <c r="F25" s="11">
        <f>IF(OR(E25="",E25&lt;=1),"",ROUND((SUM($C$2:$C$50)-C25)/(E25-1),2))</f>
        <v/>
      </c>
    </row>
    <row r="26">
      <c r="A26" s="6" t="inlineStr">
        <is>
          <t>TriggerBluntDamage</t>
        </is>
      </c>
      <c r="B26" s="7" t="inlineStr">
        <is>
          <t>Concussive Maintenance</t>
        </is>
      </c>
      <c r="C26" s="8" t="n">
        <v>1</v>
      </c>
      <c r="D26" s="9">
        <f>IF(C26=0,"never",ROUND(SUM($C$2:$C$50)/C26,1))</f>
        <v/>
      </c>
      <c r="E26" s="10" t="n"/>
      <c r="F26" s="11">
        <f>IF(OR(E26="",E26&lt;=1),"",ROUND((SUM($C$2:$C$50)-C26)/(E26-1),2))</f>
        <v/>
      </c>
    </row>
    <row r="27">
      <c r="A27" s="6" t="inlineStr">
        <is>
          <t>TriggerPierceDamage</t>
        </is>
      </c>
      <c r="B27" s="7" t="inlineStr">
        <is>
          <t>Stabbing</t>
        </is>
      </c>
      <c r="C27" s="8" t="n">
        <v>1</v>
      </c>
      <c r="D27" s="9">
        <f>IF(C27=0,"never",ROUND(SUM($C$2:$C$50)/C27,1))</f>
        <v/>
      </c>
      <c r="E27" s="10" t="n"/>
      <c r="F27" s="11">
        <f>IF(OR(E27="",E27&lt;=1),"",ROUND((SUM($C$2:$C$50)-C27)/(E27-1),2))</f>
        <v/>
      </c>
    </row>
    <row r="28">
      <c r="A28" s="6" t="inlineStr">
        <is>
          <t>TriggerWrenching</t>
        </is>
      </c>
      <c r="B28" s="7" t="inlineStr">
        <is>
          <t>Tightening</t>
        </is>
      </c>
      <c r="C28" s="8" t="n">
        <v>0.5</v>
      </c>
      <c r="D28" s="9">
        <f>IF(C28=0,"never",ROUND(SUM($C$2:$C$50)/C28,1))</f>
        <v/>
      </c>
      <c r="E28" s="10" t="n"/>
      <c r="F28" s="11">
        <f>IF(OR(E28="",E28&lt;=1),"",ROUND((SUM($C$2:$C$50)-C28)/(E28-1),2))</f>
        <v/>
      </c>
    </row>
    <row r="29">
      <c r="A29" s="6" t="inlineStr">
        <is>
          <t>TriggerPrying</t>
        </is>
      </c>
      <c r="B29" s="7" t="inlineStr">
        <is>
          <t>Prying</t>
        </is>
      </c>
      <c r="C29" s="8" t="n">
        <v>0.5</v>
      </c>
      <c r="D29" s="9">
        <f>IF(C29=0,"never",ROUND(SUM($C$2:$C$50)/C29,1))</f>
        <v/>
      </c>
      <c r="E29" s="10" t="n"/>
      <c r="F29" s="11">
        <f>IF(OR(E29="",E29&lt;=1),"",ROUND((SUM($C$2:$C$50)-C29)/(E29-1),2))</f>
        <v/>
      </c>
    </row>
    <row r="30">
      <c r="A30" s="6" t="inlineStr">
        <is>
          <t>TriggerScrewing</t>
        </is>
      </c>
      <c r="B30" s="7" t="inlineStr">
        <is>
          <t>Screwing</t>
        </is>
      </c>
      <c r="C30" s="8" t="n">
        <v>0.5</v>
      </c>
      <c r="D30" s="9">
        <f>IF(C30=0,"never",ROUND(SUM($C$2:$C$50)/C30,1))</f>
        <v/>
      </c>
      <c r="E30" s="10" t="n"/>
      <c r="F30" s="11">
        <f>IF(OR(E30="",E30&lt;=1),"",ROUND((SUM($C$2:$C$50)-C30)/(E30-1),2))</f>
        <v/>
      </c>
    </row>
    <row r="31">
      <c r="A31" s="6" t="inlineStr">
        <is>
          <t>TriggerPulsing</t>
        </is>
      </c>
      <c r="B31" s="7" t="inlineStr">
        <is>
          <t>Pulsing</t>
        </is>
      </c>
      <c r="C31" s="8" t="n">
        <v>0.5</v>
      </c>
      <c r="D31" s="9">
        <f>IF(C31=0,"never",ROUND(SUM($C$2:$C$50)/C31,1))</f>
        <v/>
      </c>
      <c r="E31" s="10" t="n"/>
      <c r="F31" s="11">
        <f>IF(OR(E31="",E31&lt;=1),"",ROUND((SUM($C$2:$C$50)-C31)/(E31-1),2))</f>
        <v/>
      </c>
    </row>
    <row r="32">
      <c r="A32" s="6" t="inlineStr">
        <is>
          <t>TriggerSlicing</t>
        </is>
      </c>
      <c r="B32" s="7" t="inlineStr">
        <is>
          <t>Slicing</t>
        </is>
      </c>
      <c r="C32" s="8" t="n">
        <v>0.5</v>
      </c>
      <c r="D32" s="9">
        <f>IF(C32=0,"never",ROUND(SUM($C$2:$C$50)/C32,1))</f>
        <v/>
      </c>
      <c r="E32" s="10" t="n"/>
      <c r="F32" s="11">
        <f>IF(OR(E32="",E32&lt;=1),"",ROUND((SUM($C$2:$C$50)-C32)/(E32-1),2))</f>
        <v/>
      </c>
    </row>
    <row r="33">
      <c r="A33" s="6" t="inlineStr">
        <is>
          <t>TriggerCutting</t>
        </is>
      </c>
      <c r="B33" s="7" t="inlineStr">
        <is>
          <t>Cutting</t>
        </is>
      </c>
      <c r="C33" s="8" t="n">
        <v>0.5</v>
      </c>
      <c r="D33" s="9">
        <f>IF(C33=0,"never",ROUND(SUM($C$2:$C$50)/C33,1))</f>
        <v/>
      </c>
      <c r="E33" s="10" t="n"/>
      <c r="F33" s="11">
        <f>IF(OR(E33="",E33&lt;=1),"",ROUND((SUM($C$2:$C$50)-C33)/(E33-1),2))</f>
        <v/>
      </c>
    </row>
    <row r="34">
      <c r="A34" s="6" t="inlineStr">
        <is>
          <t>TriggerRolling</t>
        </is>
      </c>
      <c r="B34" s="7" t="inlineStr">
        <is>
          <t>Rolling</t>
        </is>
      </c>
      <c r="C34" s="8" t="n">
        <v>0.5</v>
      </c>
      <c r="D34" s="9">
        <f>IF(C34=0,"never",ROUND(SUM($C$2:$C$50)/C34,1))</f>
        <v/>
      </c>
      <c r="E34" s="10" t="n"/>
      <c r="F34" s="11">
        <f>IF(OR(E34="",E34&lt;=1),"",ROUND((SUM($C$2:$C$50)-C34)/(E34-1),2))</f>
        <v/>
      </c>
    </row>
    <row r="35">
      <c r="A35" s="6" t="inlineStr">
        <is>
          <t>TriggerBrushing</t>
        </is>
      </c>
      <c r="B35" s="7" t="inlineStr">
        <is>
          <t>Brushing</t>
        </is>
      </c>
      <c r="C35" s="8" t="n">
        <v>0.5</v>
      </c>
      <c r="D35" s="9">
        <f>IF(C35=0,"never",ROUND(SUM($C$2:$C$50)/C35,1))</f>
        <v/>
      </c>
      <c r="E35" s="10" t="n"/>
      <c r="F35" s="11">
        <f>IF(OR(E35="",E35&lt;=1),"",ROUND((SUM($C$2:$C$50)-C35)/(E35-1),2))</f>
        <v/>
      </c>
    </row>
    <row r="36">
      <c r="A36" s="6" t="inlineStr">
        <is>
          <t>TriggerTimer</t>
        </is>
      </c>
      <c r="B36" s="7" t="inlineStr">
        <is>
          <t>Regular self-activation</t>
        </is>
      </c>
      <c r="C36" s="8" t="n">
        <v>0.01</v>
      </c>
      <c r="D36" s="9">
        <f>IF(C36=0,"never",ROUND(SUM($C$2:$C$50)/C36,1))</f>
        <v/>
      </c>
      <c r="E36" s="10" t="n"/>
      <c r="F36" s="11">
        <f>IF(OR(E36="",E36&lt;=1),"",ROUND((SUM($C$2:$C$50)-C36)/(E36-1),2))</f>
        <v/>
      </c>
    </row>
    <row r="37">
      <c r="A37" s="6" t="inlineStr">
        <is>
          <t>TriggerBlood</t>
        </is>
      </c>
      <c r="B37" s="7" t="inlineStr">
        <is>
          <t>Blood</t>
        </is>
      </c>
      <c r="C37" s="8" t="n">
        <v>1</v>
      </c>
      <c r="D37" s="9">
        <f>IF(C37=0,"never",ROUND(SUM($C$2:$C$50)/C37,1))</f>
        <v/>
      </c>
      <c r="E37" s="10" t="n"/>
      <c r="F37" s="11">
        <f>IF(OR(E37="",E37&lt;=1),"",ROUND((SUM($C$2:$C$50)-C37)/(E37-1),2))</f>
        <v/>
      </c>
    </row>
    <row r="38">
      <c r="A38" s="6" t="inlineStr">
        <is>
          <t>TriggerThrow</t>
        </is>
      </c>
      <c r="B38" s="7" t="inlineStr">
        <is>
          <t>Being thrown</t>
        </is>
      </c>
      <c r="C38" s="8" t="n">
        <v>1</v>
      </c>
      <c r="D38" s="9">
        <f>IF(C38=0,"never",ROUND(SUM($C$2:$C$50)/C38,1))</f>
        <v/>
      </c>
      <c r="E38" s="10" t="n"/>
      <c r="F38" s="11">
        <f>IF(OR(E38="",E38&lt;=1),"",ROUND((SUM($C$2:$C$50)-C38)/(E38-1),2))</f>
        <v/>
      </c>
    </row>
    <row r="39">
      <c r="A39" s="6" t="inlineStr">
        <is>
          <t>TriggerDeath</t>
        </is>
      </c>
      <c r="B39" s="7" t="inlineStr">
        <is>
          <t>Death</t>
        </is>
      </c>
      <c r="C39" s="8" t="n">
        <v>1</v>
      </c>
      <c r="D39" s="9">
        <f>IF(C39=0,"never",ROUND(SUM($C$2:$C$50)/C39,1))</f>
        <v/>
      </c>
      <c r="E39" s="10" t="n"/>
      <c r="F39" s="11">
        <f>IF(OR(E39="",E39&lt;=1),"",ROUND((SUM($C$2:$C$50)-C39)/(E39-1),2))</f>
        <v/>
      </c>
    </row>
    <row r="40">
      <c r="A40" s="6" t="inlineStr">
        <is>
          <t>TriggerMagnet</t>
        </is>
      </c>
      <c r="B40" s="7" t="inlineStr">
        <is>
          <t>Magnetic waves</t>
        </is>
      </c>
      <c r="C40" s="8" t="n">
        <v>1</v>
      </c>
      <c r="D40" s="9">
        <f>IF(C40=0,"never",ROUND(SUM($C$2:$C$50)/C40,1))</f>
        <v/>
      </c>
      <c r="E40" s="10" t="n"/>
      <c r="F40" s="11">
        <f>IF(OR(E40="",E40&lt;=1),"",ROUND((SUM($C$2:$C$50)-C40)/(E40-1),2))</f>
        <v/>
      </c>
    </row>
    <row r="41">
      <c r="A41" s="6" t="inlineStr">
        <is>
          <t>TriggerChemBrute</t>
        </is>
      </c>
      <c r="B41" s="7" t="inlineStr">
        <is>
          <t>Injury Medication</t>
        </is>
      </c>
      <c r="C41" s="8" t="n">
        <v>1</v>
      </c>
      <c r="D41" s="9">
        <f>IF(C41=0,"never",ROUND(SUM($C$2:$C$50)/C41,1))</f>
        <v/>
      </c>
      <c r="E41" s="10" t="n"/>
      <c r="F41" s="11">
        <f>IF(OR(E41="",E41&lt;=1),"",ROUND((SUM($C$2:$C$50)-C41)/(E41-1),2))</f>
        <v/>
      </c>
    </row>
    <row r="42">
      <c r="A42" s="6" t="inlineStr">
        <is>
          <t>TriggerChemBurn</t>
        </is>
      </c>
      <c r="B42" s="7" t="inlineStr">
        <is>
          <t>Soothing Medication</t>
        </is>
      </c>
      <c r="C42" s="8" t="n">
        <v>1</v>
      </c>
      <c r="D42" s="9">
        <f>IF(C42=0,"never",ROUND(SUM($C$2:$C$50)/C42,1))</f>
        <v/>
      </c>
      <c r="E42" s="10" t="n"/>
      <c r="F42" s="11">
        <f>IF(OR(E42="",E42&lt;=1),"",ROUND((SUM($C$2:$C$50)-C42)/(E42-1),2))</f>
        <v/>
      </c>
    </row>
    <row r="43">
      <c r="A43" s="6" t="inlineStr">
        <is>
          <t>TriggerChemToxin</t>
        </is>
      </c>
      <c r="B43" s="7" t="inlineStr">
        <is>
          <t>Curing Medication</t>
        </is>
      </c>
      <c r="C43" s="8" t="n">
        <v>1</v>
      </c>
      <c r="D43" s="9">
        <f>IF(C43=0,"never",ROUND(SUM($C$2:$C$50)/C43,1))</f>
        <v/>
      </c>
      <c r="E43" s="10" t="n"/>
      <c r="F43" s="11">
        <f>IF(OR(E43="",E43&lt;=1),"",ROUND((SUM($C$2:$C$50)-C43)/(E43-1),2))</f>
        <v/>
      </c>
    </row>
    <row r="44">
      <c r="A44" s="6" t="inlineStr">
        <is>
          <t>TriggerChemGenetic</t>
        </is>
      </c>
      <c r="B44" s="7" t="inlineStr">
        <is>
          <t>Cancer Treatment</t>
        </is>
      </c>
      <c r="C44" s="8" t="n">
        <v>0.5</v>
      </c>
      <c r="D44" s="9">
        <f>IF(C44=0,"never",ROUND(SUM($C$2:$C$50)/C44,1))</f>
        <v/>
      </c>
      <c r="E44" s="10" t="n"/>
      <c r="F44" s="11">
        <f>IF(OR(E44="",E44&lt;=1),"",ROUND((SUM($C$2:$C$50)-C44)/(E44-1),2))</f>
        <v/>
      </c>
    </row>
    <row r="45">
      <c r="A45" s="6" t="inlineStr">
        <is>
          <t>TriggerChemCryo</t>
        </is>
      </c>
      <c r="B45" s="7" t="inlineStr">
        <is>
          <t>Cryogenic Medication</t>
        </is>
      </c>
      <c r="C45" s="8" t="n">
        <v>1</v>
      </c>
      <c r="D45" s="9">
        <f>IF(C45=0,"never",ROUND(SUM($C$2:$C$50)/C45,1))</f>
        <v/>
      </c>
      <c r="E45" s="10" t="n"/>
      <c r="F45" s="11">
        <f>IF(OR(E45="",E45&lt;=1),"",ROUND((SUM($C$2:$C$50)-C45)/(E45-1),2))</f>
        <v/>
      </c>
    </row>
    <row r="46">
      <c r="A46" s="6" t="inlineStr">
        <is>
          <t>TriggerChemNarcotic</t>
        </is>
      </c>
      <c r="B46" s="7" t="inlineStr">
        <is>
          <t>Illicit Substances</t>
        </is>
      </c>
      <c r="C46" s="8" t="n">
        <v>0.5</v>
      </c>
      <c r="D46" s="9">
        <f>IF(C46=0,"never",ROUND(SUM($C$2:$C$50)/C46,1))</f>
        <v/>
      </c>
      <c r="E46" s="10" t="n"/>
      <c r="F46" s="11">
        <f>IF(OR(E46="",E46&lt;=1),"",ROUND((SUM($C$2:$C$50)-C46)/(E46-1),2))</f>
        <v/>
      </c>
    </row>
    <row r="47">
      <c r="A47" s="6" t="inlineStr">
        <is>
          <t>TriggerChemAcidic</t>
        </is>
      </c>
      <c r="B47" s="7" t="inlineStr">
        <is>
          <t>Acidic Substances</t>
        </is>
      </c>
      <c r="C47" s="8" t="n">
        <v>0.5</v>
      </c>
      <c r="D47" s="9">
        <f>IF(C47=0,"never",ROUND(SUM($C$2:$C$50)/C47,1))</f>
        <v/>
      </c>
      <c r="E47" s="10" t="n"/>
      <c r="F47" s="11">
        <f>IF(OR(E47="",E47&lt;=1),"",ROUND((SUM($C$2:$C$50)-C47)/(E47-1),2))</f>
        <v/>
      </c>
    </row>
    <row r="48">
      <c r="A48" s="6" t="inlineStr">
        <is>
          <t>TriggerChemCleaning</t>
        </is>
      </c>
      <c r="B48" s="7" t="inlineStr">
        <is>
          <t>Cleaning Supplies</t>
        </is>
      </c>
      <c r="C48" s="8" t="n">
        <v>1</v>
      </c>
      <c r="D48" s="9">
        <f>IF(C48=0,"never",ROUND(SUM($C$2:$C$50)/C48,1))</f>
        <v/>
      </c>
      <c r="E48" s="10" t="n"/>
      <c r="F48" s="11">
        <f>IF(OR(E48="",E48&lt;=1),"",ROUND((SUM($C$2:$C$50)-C48)/(E48-1),2))</f>
        <v/>
      </c>
    </row>
    <row r="49">
      <c r="A49" s="6" t="inlineStr">
        <is>
          <t>TriggerChemSticky</t>
        </is>
      </c>
      <c r="B49" s="7" t="inlineStr">
        <is>
          <t>Sticky Substances</t>
        </is>
      </c>
      <c r="C49" s="8" t="n">
        <v>0.5</v>
      </c>
      <c r="D49" s="9">
        <f>IF(C49=0,"never",ROUND(SUM($C$2:$C$50)/C49,1))</f>
        <v/>
      </c>
      <c r="E49" s="10" t="n"/>
      <c r="F49" s="11">
        <f>IF(OR(E49="",E49&lt;=1),"",ROUND((SUM($C$2:$C$50)-C49)/(E49-1),2))</f>
        <v/>
      </c>
    </row>
    <row r="50">
      <c r="A50" s="6" t="inlineStr">
        <is>
          <t>TriggerChemSlippery</t>
        </is>
      </c>
      <c r="B50" s="7" t="inlineStr">
        <is>
          <t>Slippery Substances</t>
        </is>
      </c>
      <c r="C50" s="8" t="n">
        <v>0.5</v>
      </c>
      <c r="D50" s="9">
        <f>IF(C50=0,"never",ROUND(SUM($C$2:$C$50)/C50,1))</f>
        <v/>
      </c>
      <c r="E50" s="10" t="n"/>
      <c r="F50" s="11">
        <f>IF(OR(E50="",E50&lt;=1),"",ROUND((SUM($C$2:$C$50)-C50)/(E50-1),2))</f>
        <v/>
      </c>
    </row>
    <row r="51">
      <c r="A51" s="12" t="n"/>
      <c r="B51" s="13" t="inlineStr">
        <is>
          <t>TOTAL WEIGHT</t>
        </is>
      </c>
      <c r="C51" s="14">
        <f>SUM($C$2:$C$50)</f>
        <v/>
      </c>
      <c r="D51" s="12" t="n"/>
      <c r="E51" s="12" t="n"/>
      <c r="F51" s="1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1" customWidth="1" min="3" max="3"/>
    <col width="15" customWidth="1" min="4" max="4"/>
    <col width="14" customWidth="1" min="5" max="5"/>
    <col width="16" customWidth="1" min="6" max="6"/>
  </cols>
  <sheetData>
    <row r="1" ht="30" customHeight="1">
      <c r="A1" s="5" t="inlineStr">
        <is>
          <t>ID (do not edit)</t>
        </is>
      </c>
      <c r="B1" s="5" t="inlineStr">
        <is>
          <t>Description</t>
        </is>
      </c>
      <c r="C1" s="5" t="inlineStr">
        <is>
          <t>Weight</t>
        </is>
      </c>
      <c r="D1" s="5" t="inlineStr">
        <is>
          <t>Appears ~1 in X</t>
        </is>
      </c>
      <c r="E1" s="5" t="inlineStr">
        <is>
          <t>Target: 1 in X</t>
        </is>
      </c>
      <c r="F1" s="5" t="inlineStr">
        <is>
          <t>Suggested weight</t>
        </is>
      </c>
    </row>
    <row r="2">
      <c r="A2" s="6" t="inlineStr">
        <is>
          <t>XenoArtifactEffectLaughingFit</t>
        </is>
      </c>
      <c r="B2" s="7" t="inlineStr">
        <is>
          <t>Laughing Fit</t>
        </is>
      </c>
      <c r="C2" s="8" t="n">
        <v>10</v>
      </c>
      <c r="D2" s="9">
        <f>IF(C2=0,"never",ROUND(SUM($C$2:$C$88)/C2,1))</f>
        <v/>
      </c>
      <c r="E2" s="10" t="n"/>
      <c r="F2" s="11">
        <f>IF(OR(E2="",E2&lt;=1),"",ROUND((SUM($C$2:$C$88)-C2)/(E2-1),2))</f>
        <v/>
      </c>
    </row>
    <row r="3">
      <c r="A3" s="6" t="inlineStr">
        <is>
          <t>XenoArtifactEffectSighingFit</t>
        </is>
      </c>
      <c r="B3" s="7" t="inlineStr">
        <is>
          <t>Sighing Fit</t>
        </is>
      </c>
      <c r="C3" s="8" t="n">
        <v>10</v>
      </c>
      <c r="D3" s="9">
        <f>IF(C3=0,"never",ROUND(SUM($C$2:$C$88)/C3,1))</f>
        <v/>
      </c>
      <c r="E3" s="10" t="n"/>
      <c r="F3" s="11">
        <f>IF(OR(E3="",E3&lt;=1),"",ROUND((SUM($C$2:$C$88)-C3)/(E3-1),2))</f>
        <v/>
      </c>
    </row>
    <row r="4">
      <c r="A4" s="6" t="inlineStr">
        <is>
          <t>XenoArtifactEffectSneezingFit</t>
        </is>
      </c>
      <c r="B4" s="7" t="inlineStr">
        <is>
          <t>Sneezing Fit</t>
        </is>
      </c>
      <c r="C4" s="8" t="n">
        <v>10</v>
      </c>
      <c r="D4" s="9">
        <f>IF(C4=0,"never",ROUND(SUM($C$2:$C$88)/C4,1))</f>
        <v/>
      </c>
      <c r="E4" s="10" t="n"/>
      <c r="F4" s="11">
        <f>IF(OR(E4="",E4&lt;=1),"",ROUND((SUM($C$2:$C$88)-C4)/(E4-1),2))</f>
        <v/>
      </c>
    </row>
    <row r="5">
      <c r="A5" s="6" t="inlineStr">
        <is>
          <t>XenoArtifactEffectCoughingFit</t>
        </is>
      </c>
      <c r="B5" s="7" t="inlineStr">
        <is>
          <t>Coughing Fit</t>
        </is>
      </c>
      <c r="C5" s="8" t="n">
        <v>10</v>
      </c>
      <c r="D5" s="9">
        <f>IF(C5=0,"never",ROUND(SUM($C$2:$C$88)/C5,1))</f>
        <v/>
      </c>
      <c r="E5" s="10" t="n"/>
      <c r="F5" s="11">
        <f>IF(OR(E5="",E5&lt;=1),"",ROUND((SUM($C$2:$C$88)-C5)/(E5-1),2))</f>
        <v/>
      </c>
    </row>
    <row r="6">
      <c r="A6" s="6" t="inlineStr">
        <is>
          <t>XenoArtifactEffectWhistlingFit</t>
        </is>
      </c>
      <c r="B6" s="7" t="inlineStr">
        <is>
          <t>Whistling Fit</t>
        </is>
      </c>
      <c r="C6" s="8" t="n">
        <v>10</v>
      </c>
      <c r="D6" s="9">
        <f>IF(C6=0,"never",ROUND(SUM($C$2:$C$88)/C6,1))</f>
        <v/>
      </c>
      <c r="E6" s="10" t="n"/>
      <c r="F6" s="11">
        <f>IF(OR(E6="",E6&lt;=1),"",ROUND((SUM($C$2:$C$88)-C6)/(E6-1),2))</f>
        <v/>
      </c>
    </row>
    <row r="7">
      <c r="A7" s="6" t="inlineStr">
        <is>
          <t>XenoArtifactEffectCryingFit</t>
        </is>
      </c>
      <c r="B7" s="7" t="inlineStr">
        <is>
          <t>Crying Fit</t>
        </is>
      </c>
      <c r="C7" s="8" t="n">
        <v>10</v>
      </c>
      <c r="D7" s="9">
        <f>IF(C7=0,"never",ROUND(SUM($C$2:$C$88)/C7,1))</f>
        <v/>
      </c>
      <c r="E7" s="10" t="n"/>
      <c r="F7" s="11">
        <f>IF(OR(E7="",E7&lt;=1),"",ROUND((SUM($C$2:$C$88)-C7)/(E7-1),2))</f>
        <v/>
      </c>
    </row>
    <row r="8">
      <c r="A8" s="6" t="inlineStr">
        <is>
          <t>XenoArtifactEffectYawningFit</t>
        </is>
      </c>
      <c r="B8" s="7" t="inlineStr">
        <is>
          <t>Yawning Fit</t>
        </is>
      </c>
      <c r="C8" s="8" t="n">
        <v>10</v>
      </c>
      <c r="D8" s="9">
        <f>IF(C8=0,"never",ROUND(SUM($C$2:$C$88)/C8,1))</f>
        <v/>
      </c>
      <c r="E8" s="10" t="n"/>
      <c r="F8" s="11">
        <f>IF(OR(E8="",E8&lt;=1),"",ROUND((SUM($C$2:$C$88)-C8)/(E8-1),2))</f>
        <v/>
      </c>
    </row>
    <row r="9">
      <c r="A9" s="6" t="inlineStr">
        <is>
          <t>XenoArtifactEffectScreamingFit</t>
        </is>
      </c>
      <c r="B9" s="7" t="inlineStr">
        <is>
          <t>Screaming Fit</t>
        </is>
      </c>
      <c r="C9" s="8" t="n">
        <v>10</v>
      </c>
      <c r="D9" s="9">
        <f>IF(C9=0,"never",ROUND(SUM($C$2:$C$88)/C9,1))</f>
        <v/>
      </c>
      <c r="E9" s="10" t="n"/>
      <c r="F9" s="11">
        <f>IF(OR(E9="",E9&lt;=1),"",ROUND((SUM($C$2:$C$88)-C9)/(E9-1),2))</f>
        <v/>
      </c>
    </row>
    <row r="10">
      <c r="A10" s="6" t="inlineStr">
        <is>
          <t>XenoArtifactAnomalySpawn</t>
        </is>
      </c>
      <c r="B10" s="7" t="inlineStr">
        <is>
          <t>Anomaly Spawn</t>
        </is>
      </c>
      <c r="C10" s="8" t="n">
        <v>1</v>
      </c>
      <c r="D10" s="9">
        <f>IF(C10=0,"never",ROUND(SUM($C$2:$C$88)/C10,1))</f>
        <v/>
      </c>
      <c r="E10" s="10" t="n"/>
      <c r="F10" s="11">
        <f>IF(OR(E10="",E10&lt;=1),"",ROUND((SUM($C$2:$C$88)-C10)/(E10-1),2))</f>
        <v/>
      </c>
    </row>
    <row r="11">
      <c r="A11" s="6" t="inlineStr">
        <is>
          <t>XenoArtifactArtifactSpawn</t>
        </is>
      </c>
      <c r="B11" s="7" t="inlineStr">
        <is>
          <t>Artifact Spawn</t>
        </is>
      </c>
      <c r="C11" s="8" t="n">
        <v>0</v>
      </c>
      <c r="D11" s="9">
        <f>IF(C11=0,"never",ROUND(SUM($C$2:$C$88)/C11,1))</f>
        <v/>
      </c>
      <c r="E11" s="10" t="n"/>
      <c r="F11" s="11">
        <f>IF(OR(E11="",E11&lt;=1),"",ROUND((SUM($C$2:$C$88)-C11)/(E11-1),2))</f>
        <v/>
      </c>
    </row>
    <row r="12">
      <c r="A12" s="6" t="inlineStr">
        <is>
          <t>XenoArtifactEffectBadFeeling</t>
        </is>
      </c>
      <c r="B12" s="7" t="inlineStr">
        <is>
          <t>Bad Feeling</t>
        </is>
      </c>
      <c r="C12" s="8" t="n">
        <v>10</v>
      </c>
      <c r="D12" s="9">
        <f>IF(C12=0,"never",ROUND(SUM($C$2:$C$88)/C12,1))</f>
        <v/>
      </c>
      <c r="E12" s="10" t="n"/>
      <c r="F12" s="11">
        <f>IF(OR(E12="",E12&lt;=1),"",ROUND((SUM($C$2:$C$88)-C12)/(E12-1),2))</f>
        <v/>
      </c>
    </row>
    <row r="13">
      <c r="A13" s="6" t="inlineStr">
        <is>
          <t>XenoArtifactBoom</t>
        </is>
      </c>
      <c r="B13" s="7" t="inlineStr">
        <is>
          <t>Boom</t>
        </is>
      </c>
      <c r="C13" s="8" t="n">
        <v>0</v>
      </c>
      <c r="D13" s="9">
        <f>IF(C13=0,"never",ROUND(SUM($C$2:$C$88)/C13,1))</f>
        <v/>
      </c>
      <c r="E13" s="10" t="n"/>
      <c r="F13" s="11">
        <f>IF(OR(E13="",E13&lt;=1),"",ROUND((SUM($C$2:$C$88)-C13)/(E13-1),2))</f>
        <v/>
      </c>
    </row>
    <row r="14">
      <c r="A14" s="6" t="inlineStr">
        <is>
          <t>XenoArtifactCashSpawn</t>
        </is>
      </c>
      <c r="B14" s="7" t="inlineStr">
        <is>
          <t>Cash Spawn</t>
        </is>
      </c>
      <c r="C14" s="8" t="n">
        <v>0</v>
      </c>
      <c r="D14" s="9">
        <f>IF(C14=0,"never",ROUND(SUM($C$2:$C$88)/C14,1))</f>
        <v/>
      </c>
      <c r="E14" s="10" t="n"/>
      <c r="F14" s="11">
        <f>IF(OR(E14="",E14&lt;=1),"",ROUND((SUM($C$2:$C$88)-C14)/(E14-1),2))</f>
        <v/>
      </c>
    </row>
    <row r="15">
      <c r="A15" s="6" t="inlineStr">
        <is>
          <t>XenoArtifactOldCashSpawn</t>
        </is>
      </c>
      <c r="B15" s="7" t="inlineStr">
        <is>
          <t>Old Cash Spawn</t>
        </is>
      </c>
      <c r="C15" s="8" t="n">
        <v>8</v>
      </c>
      <c r="D15" s="9">
        <f>IF(C15=0,"never",ROUND(SUM($C$2:$C$88)/C15,1))</f>
        <v/>
      </c>
      <c r="E15" s="10" t="n"/>
      <c r="F15" s="11">
        <f>IF(OR(E15="",E15&lt;=1),"",ROUND((SUM($C$2:$C$88)-C15)/(E15-1),2))</f>
        <v/>
      </c>
    </row>
    <row r="16">
      <c r="A16" s="6" t="inlineStr">
        <is>
          <t>XenoArtifactChargeBatteryLow</t>
        </is>
      </c>
      <c r="B16" s="7" t="inlineStr">
        <is>
          <t>Charge Battery Low</t>
        </is>
      </c>
      <c r="C16" s="8" t="n">
        <v>8</v>
      </c>
      <c r="D16" s="9">
        <f>IF(C16=0,"never",ROUND(SUM($C$2:$C$88)/C16,1))</f>
        <v/>
      </c>
      <c r="E16" s="10" t="n"/>
      <c r="F16" s="11">
        <f>IF(OR(E16="",E16&lt;=1),"",ROUND((SUM($C$2:$C$88)-C16)/(E16-1),2))</f>
        <v/>
      </c>
    </row>
    <row r="17">
      <c r="A17" s="6" t="inlineStr">
        <is>
          <t>XenoArtifactChargeBattery</t>
        </is>
      </c>
      <c r="B17" s="7" t="inlineStr">
        <is>
          <t>Charge Battery</t>
        </is>
      </c>
      <c r="C17" s="8" t="n">
        <v>1</v>
      </c>
      <c r="D17" s="9">
        <f>IF(C17=0,"never",ROUND(SUM($C$2:$C$88)/C17,1))</f>
        <v/>
      </c>
      <c r="E17" s="10" t="n"/>
      <c r="F17" s="11">
        <f>IF(OR(E17="",E17&lt;=1),"",ROUND((SUM($C$2:$C$88)-C17)/(E17-1),2))</f>
        <v/>
      </c>
    </row>
    <row r="18">
      <c r="A18" s="6" t="inlineStr">
        <is>
          <t>XenoArtifactChemicalPuddle</t>
        </is>
      </c>
      <c r="B18" s="7" t="inlineStr">
        <is>
          <t>Chemical Puddle</t>
        </is>
      </c>
      <c r="C18" s="8" t="n">
        <v>10</v>
      </c>
      <c r="D18" s="9">
        <f>IF(C18=0,"never",ROUND(SUM($C$2:$C$88)/C18,1))</f>
        <v/>
      </c>
      <c r="E18" s="10" t="n"/>
      <c r="F18" s="11">
        <f>IF(OR(E18="",E18&lt;=1),"",ROUND((SUM($C$2:$C$88)-C18)/(E18-1),2))</f>
        <v/>
      </c>
    </row>
    <row r="19">
      <c r="A19" s="6" t="inlineStr">
        <is>
          <t>XenoArtifactColdWave</t>
        </is>
      </c>
      <c r="B19" s="7" t="inlineStr">
        <is>
          <t>Cold Wave</t>
        </is>
      </c>
      <c r="C19" s="8" t="n">
        <v>10</v>
      </c>
      <c r="D19" s="9">
        <f>IF(C19=0,"never",ROUND(SUM($C$2:$C$88)/C19,1))</f>
        <v/>
      </c>
      <c r="E19" s="10" t="n"/>
      <c r="F19" s="11">
        <f>IF(OR(E19="",E19&lt;=1),"",ROUND((SUM($C$2:$C$88)-C19)/(E19-1),2))</f>
        <v/>
      </c>
    </row>
    <row r="20">
      <c r="A20" s="6" t="inlineStr">
        <is>
          <t>XenoArtifactEffectCreationGasAmmonia</t>
        </is>
      </c>
      <c r="B20" s="7" t="inlineStr">
        <is>
          <t>Creation Gas Ammonia</t>
        </is>
      </c>
      <c r="C20" s="8" t="n">
        <v>8</v>
      </c>
      <c r="D20" s="9">
        <f>IF(C20=0,"never",ROUND(SUM($C$2:$C$88)/C20,1))</f>
        <v/>
      </c>
      <c r="E20" s="10" t="n"/>
      <c r="F20" s="11">
        <f>IF(OR(E20="",E20&lt;=1),"",ROUND((SUM($C$2:$C$88)-C20)/(E20-1),2))</f>
        <v/>
      </c>
    </row>
    <row r="21">
      <c r="A21" s="6" t="inlineStr">
        <is>
          <t>XenoArtifactEffectCreationGasCarbonDioxide</t>
        </is>
      </c>
      <c r="B21" s="7" t="inlineStr">
        <is>
          <t>Creation Gas Carbon Dioxide</t>
        </is>
      </c>
      <c r="C21" s="8" t="n">
        <v>10</v>
      </c>
      <c r="D21" s="9">
        <f>IF(C21=0,"never",ROUND(SUM($C$2:$C$88)/C21,1))</f>
        <v/>
      </c>
      <c r="E21" s="10" t="n"/>
      <c r="F21" s="11">
        <f>IF(OR(E21="",E21&lt;=1),"",ROUND((SUM($C$2:$C$88)-C21)/(E21-1),2))</f>
        <v/>
      </c>
    </row>
    <row r="22">
      <c r="A22" s="6" t="inlineStr">
        <is>
          <t>XenoArtifactEffectCreationGasFrezon</t>
        </is>
      </c>
      <c r="B22" s="7" t="inlineStr">
        <is>
          <t>Creation Gas Frezon</t>
        </is>
      </c>
      <c r="C22" s="8" t="n">
        <v>3</v>
      </c>
      <c r="D22" s="9">
        <f>IF(C22=0,"never",ROUND(SUM($C$2:$C$88)/C22,1))</f>
        <v/>
      </c>
      <c r="E22" s="10" t="n"/>
      <c r="F22" s="11">
        <f>IF(OR(E22="",E22&lt;=1),"",ROUND((SUM($C$2:$C$88)-C22)/(E22-1),2))</f>
        <v/>
      </c>
    </row>
    <row r="23">
      <c r="A23" s="6" t="inlineStr">
        <is>
          <t>XenoArtifactEffectCreationGasNitrousOxide</t>
        </is>
      </c>
      <c r="B23" s="7" t="inlineStr">
        <is>
          <t>Creation Gas Nitrous Oxide</t>
        </is>
      </c>
      <c r="C23" s="8" t="n">
        <v>10</v>
      </c>
      <c r="D23" s="9">
        <f>IF(C23=0,"never",ROUND(SUM($C$2:$C$88)/C23,1))</f>
        <v/>
      </c>
      <c r="E23" s="10" t="n"/>
      <c r="F23" s="11">
        <f>IF(OR(E23="",E23&lt;=1),"",ROUND((SUM($C$2:$C$88)-C23)/(E23-1),2))</f>
        <v/>
      </c>
    </row>
    <row r="24">
      <c r="A24" s="6" t="inlineStr">
        <is>
          <t>XenoArtifactEffectCreationGasPlasma</t>
        </is>
      </c>
      <c r="B24" s="7" t="inlineStr">
        <is>
          <t>Creation Gas Plasma</t>
        </is>
      </c>
      <c r="C24" s="8" t="n">
        <v>8</v>
      </c>
      <c r="D24" s="9">
        <f>IF(C24=0,"never",ROUND(SUM($C$2:$C$88)/C24,1))</f>
        <v/>
      </c>
      <c r="E24" s="10" t="n"/>
      <c r="F24" s="11">
        <f>IF(OR(E24="",E24&lt;=1),"",ROUND((SUM($C$2:$C$88)-C24)/(E24-1),2))</f>
        <v/>
      </c>
    </row>
    <row r="25">
      <c r="A25" s="6" t="inlineStr">
        <is>
          <t>XenoArtifactEffectCreationGasTritium</t>
        </is>
      </c>
      <c r="B25" s="7" t="inlineStr">
        <is>
          <t>Creation Gas Tritium</t>
        </is>
      </c>
      <c r="C25" s="8" t="n">
        <v>3</v>
      </c>
      <c r="D25" s="9">
        <f>IF(C25=0,"never",ROUND(SUM($C$2:$C$88)/C25,1))</f>
        <v/>
      </c>
      <c r="E25" s="10" t="n"/>
      <c r="F25" s="11">
        <f>IF(OR(E25="",E25&lt;=1),"",ROUND((SUM($C$2:$C$88)-C25)/(E25-1),2))</f>
        <v/>
      </c>
    </row>
    <row r="26">
      <c r="A26" s="6" t="inlineStr">
        <is>
          <t>XenoArtifactEmp</t>
        </is>
      </c>
      <c r="B26" s="7" t="inlineStr">
        <is>
          <t>Emp</t>
        </is>
      </c>
      <c r="C26" s="8" t="n">
        <v>1</v>
      </c>
      <c r="D26" s="9">
        <f>IF(C26=0,"never",ROUND(SUM($C$2:$C$88)/C26,1))</f>
        <v/>
      </c>
      <c r="E26" s="10" t="n"/>
      <c r="F26" s="11">
        <f>IF(OR(E26="",E26&lt;=1),"",ROUND((SUM($C$2:$C$88)-C26)/(E26-1),2))</f>
        <v/>
      </c>
    </row>
    <row r="27">
      <c r="A27" s="6" t="inlineStr">
        <is>
          <t>XenoArtifactExplosionScary</t>
        </is>
      </c>
      <c r="B27" s="7" t="inlineStr">
        <is>
          <t>Explosion Scary</t>
        </is>
      </c>
      <c r="C27" s="8" t="n">
        <v>0</v>
      </c>
      <c r="D27" s="9">
        <f>IF(C27=0,"never",ROUND(SUM($C$2:$C$88)/C27,1))</f>
        <v/>
      </c>
      <c r="E27" s="10" t="n"/>
      <c r="F27" s="11">
        <f>IF(OR(E27="",E27&lt;=1),"",ROUND((SUM($C$2:$C$88)-C27)/(E27-1),2))</f>
        <v/>
      </c>
    </row>
    <row r="28">
      <c r="A28" s="6" t="inlineStr">
        <is>
          <t>XenoArtifactFaunaSpawn</t>
        </is>
      </c>
      <c r="B28" s="7" t="inlineStr">
        <is>
          <t>Fauna Spawn</t>
        </is>
      </c>
      <c r="C28" s="8" t="n">
        <v>10</v>
      </c>
      <c r="D28" s="9">
        <f>IF(C28=0,"never",ROUND(SUM($C$2:$C$88)/C28,1))</f>
        <v/>
      </c>
      <c r="E28" s="10" t="n"/>
      <c r="F28" s="11">
        <f>IF(OR(E28="",E28&lt;=1),"",ROUND((SUM($C$2:$C$88)-C28)/(E28-1),2))</f>
        <v/>
      </c>
    </row>
    <row r="29">
      <c r="A29" s="6" t="inlineStr">
        <is>
          <t>XenoArtifactFloraSpawn</t>
        </is>
      </c>
      <c r="B29" s="7" t="inlineStr">
        <is>
          <t>Flora Spawn</t>
        </is>
      </c>
      <c r="C29" s="8" t="n">
        <v>10</v>
      </c>
      <c r="D29" s="9">
        <f>IF(C29=0,"never",ROUND(SUM($C$2:$C$88)/C29,1))</f>
        <v/>
      </c>
      <c r="E29" s="10" t="n"/>
      <c r="F29" s="11">
        <f>IF(OR(E29="",E29&lt;=1),"",ROUND((SUM($C$2:$C$88)-C29)/(E29-1),2))</f>
        <v/>
      </c>
    </row>
    <row r="30">
      <c r="A30" s="6" t="inlineStr">
        <is>
          <t>XenoArtifactFoamDangerous</t>
        </is>
      </c>
      <c r="B30" s="7" t="inlineStr">
        <is>
          <t>Foam Dangerous</t>
        </is>
      </c>
      <c r="C30" s="8" t="n">
        <v>8</v>
      </c>
      <c r="D30" s="9">
        <f>IF(C30=0,"never",ROUND(SUM($C$2:$C$88)/C30,1))</f>
        <v/>
      </c>
      <c r="E30" s="10" t="n"/>
      <c r="F30" s="11">
        <f>IF(OR(E30="",E30&lt;=1),"",ROUND((SUM($C$2:$C$88)-C30)/(E30-1),2))</f>
        <v/>
      </c>
    </row>
    <row r="31">
      <c r="A31" s="6" t="inlineStr">
        <is>
          <t>XenoArtifactFoamGood</t>
        </is>
      </c>
      <c r="B31" s="7" t="inlineStr">
        <is>
          <t>Foam Good</t>
        </is>
      </c>
      <c r="C31" s="8" t="n">
        <v>8</v>
      </c>
      <c r="D31" s="9">
        <f>IF(C31=0,"never",ROUND(SUM($C$2:$C$88)/C31,1))</f>
        <v/>
      </c>
      <c r="E31" s="10" t="n"/>
      <c r="F31" s="11">
        <f>IF(OR(E31="",E31&lt;=1),"",ROUND((SUM($C$2:$C$88)-C31)/(E31-1),2))</f>
        <v/>
      </c>
    </row>
    <row r="32">
      <c r="A32" s="6" t="inlineStr">
        <is>
          <t>XenoArtifactFoamMild</t>
        </is>
      </c>
      <c r="B32" s="7" t="inlineStr">
        <is>
          <t>Foam Mild</t>
        </is>
      </c>
      <c r="C32" s="8" t="n">
        <v>10</v>
      </c>
      <c r="D32" s="9">
        <f>IF(C32=0,"never",ROUND(SUM($C$2:$C$88)/C32,1))</f>
        <v/>
      </c>
      <c r="E32" s="10" t="n"/>
      <c r="F32" s="11">
        <f>IF(OR(E32="",E32&lt;=1),"",ROUND((SUM($C$2:$C$88)-C32)/(E32-1),2))</f>
        <v/>
      </c>
    </row>
    <row r="33">
      <c r="A33" s="6" t="inlineStr">
        <is>
          <t>XenoArtifactEffectGoodFeeling</t>
        </is>
      </c>
      <c r="B33" s="7" t="inlineStr">
        <is>
          <t>Good Feeling</t>
        </is>
      </c>
      <c r="C33" s="8" t="n">
        <v>10</v>
      </c>
      <c r="D33" s="9">
        <f>IF(C33=0,"never",ROUND(SUM($C$2:$C$88)/C33,1))</f>
        <v/>
      </c>
      <c r="E33" s="10" t="n"/>
      <c r="F33" s="11">
        <f>IF(OR(E33="",E33&lt;=1),"",ROUND((SUM($C$2:$C$88)-C33)/(E33-1),2))</f>
        <v/>
      </c>
    </row>
    <row r="34">
      <c r="A34" s="6" t="inlineStr">
        <is>
          <t>XenoArtifactHealBrute</t>
        </is>
      </c>
      <c r="B34" s="7" t="inlineStr">
        <is>
          <t>Heal Brute</t>
        </is>
      </c>
      <c r="C34" s="8" t="n">
        <v>3</v>
      </c>
      <c r="D34" s="9">
        <f>IF(C34=0,"never",ROUND(SUM($C$2:$C$88)/C34,1))</f>
        <v/>
      </c>
      <c r="E34" s="10" t="n"/>
      <c r="F34" s="11">
        <f>IF(OR(E34="",E34&lt;=1),"",ROUND((SUM($C$2:$C$88)-C34)/(E34-1),2))</f>
        <v/>
      </c>
    </row>
    <row r="35">
      <c r="A35" s="6" t="inlineStr">
        <is>
          <t>XenoArtifactHealBurn</t>
        </is>
      </c>
      <c r="B35" s="7" t="inlineStr">
        <is>
          <t>Heal Burn</t>
        </is>
      </c>
      <c r="C35" s="8" t="n">
        <v>3</v>
      </c>
      <c r="D35" s="9">
        <f>IF(C35=0,"never",ROUND(SUM($C$2:$C$88)/C35,1))</f>
        <v/>
      </c>
      <c r="E35" s="10" t="n"/>
      <c r="F35" s="11">
        <f>IF(OR(E35="",E35&lt;=1),"",ROUND((SUM($C$2:$C$88)-C35)/(E35-1),2))</f>
        <v/>
      </c>
    </row>
    <row r="36">
      <c r="A36" s="6" t="inlineStr">
        <is>
          <t>XenoArtifactHealRare</t>
        </is>
      </c>
      <c r="B36" s="7" t="inlineStr">
        <is>
          <t>Heal Rare</t>
        </is>
      </c>
      <c r="C36" s="8" t="n">
        <v>1</v>
      </c>
      <c r="D36" s="9">
        <f>IF(C36=0,"never",ROUND(SUM($C$2:$C$88)/C36,1))</f>
        <v/>
      </c>
      <c r="E36" s="10" t="n"/>
      <c r="F36" s="11">
        <f>IF(OR(E36="",E36&lt;=1),"",ROUND((SUM($C$2:$C$88)-C36)/(E36-1),2))</f>
        <v/>
      </c>
    </row>
    <row r="37">
      <c r="A37" s="6" t="inlineStr">
        <is>
          <t>XenoArtifactHealAll</t>
        </is>
      </c>
      <c r="B37" s="7" t="inlineStr">
        <is>
          <t>Heal All</t>
        </is>
      </c>
      <c r="C37" s="8" t="n">
        <v>0</v>
      </c>
      <c r="D37" s="9">
        <f>IF(C37=0,"never",ROUND(SUM($C$2:$C$88)/C37,1))</f>
        <v/>
      </c>
      <c r="E37" s="10" t="n"/>
      <c r="F37" s="11">
        <f>IF(OR(E37="",E37&lt;=1),"",ROUND((SUM($C$2:$C$88)-C37)/(E37-1),2))</f>
        <v/>
      </c>
    </row>
    <row r="38">
      <c r="A38" s="6" t="inlineStr">
        <is>
          <t>XenoArtifactHeatWave</t>
        </is>
      </c>
      <c r="B38" s="7" t="inlineStr">
        <is>
          <t>Heat Wave</t>
        </is>
      </c>
      <c r="C38" s="8" t="n">
        <v>8</v>
      </c>
      <c r="D38" s="9">
        <f>IF(C38=0,"never",ROUND(SUM($C$2:$C$88)/C38,1))</f>
        <v/>
      </c>
      <c r="E38" s="10" t="n"/>
      <c r="F38" s="11">
        <f>IF(OR(E38="",E38&lt;=1),"",ROUND((SUM($C$2:$C$88)-C38)/(E38-1),2))</f>
        <v/>
      </c>
    </row>
    <row r="39">
      <c r="A39" s="6" t="inlineStr">
        <is>
          <t>XenoArtifactHostileFaunaSpawn</t>
        </is>
      </c>
      <c r="B39" s="7" t="inlineStr">
        <is>
          <t>Hostile Fauna Spawn</t>
        </is>
      </c>
      <c r="C39" s="8" t="n">
        <v>3</v>
      </c>
      <c r="D39" s="9">
        <f>IF(C39=0,"never",ROUND(SUM($C$2:$C$88)/C39,1))</f>
        <v/>
      </c>
      <c r="E39" s="10" t="n"/>
      <c r="F39" s="11">
        <f>IF(OR(E39="",E39&lt;=1),"",ROUND((SUM($C$2:$C$88)-C39)/(E39-1),2))</f>
        <v/>
      </c>
    </row>
    <row r="40">
      <c r="A40" s="6" t="inlineStr">
        <is>
          <t>XenoArtifactIgnite</t>
        </is>
      </c>
      <c r="B40" s="7" t="inlineStr">
        <is>
          <t>Ignite</t>
        </is>
      </c>
      <c r="C40" s="8" t="n">
        <v>3</v>
      </c>
      <c r="D40" s="9">
        <f>IF(C40=0,"never",ROUND(SUM($C$2:$C$88)/C40,1))</f>
        <v/>
      </c>
      <c r="E40" s="10" t="n"/>
      <c r="F40" s="11">
        <f>IF(OR(E40="",E40&lt;=1),"",ROUND((SUM($C$2:$C$88)-C40)/(E40-1),2))</f>
        <v/>
      </c>
    </row>
    <row r="41">
      <c r="A41" s="6" t="inlineStr">
        <is>
          <t>XenoArtifactEffectJunkSpawn</t>
        </is>
      </c>
      <c r="B41" s="7" t="inlineStr">
        <is>
          <t>Junk Spawn</t>
        </is>
      </c>
      <c r="C41" s="8" t="n">
        <v>10</v>
      </c>
      <c r="D41" s="9">
        <f>IF(C41=0,"never",ROUND(SUM($C$2:$C$88)/C41,1))</f>
        <v/>
      </c>
      <c r="E41" s="10" t="n"/>
      <c r="F41" s="11">
        <f>IF(OR(E41="",E41&lt;=1),"",ROUND((SUM($C$2:$C$88)-C41)/(E41-1),2))</f>
        <v/>
      </c>
    </row>
    <row r="42">
      <c r="A42" s="6" t="inlineStr">
        <is>
          <t>XenoArtifactKnock</t>
        </is>
      </c>
      <c r="B42" s="7" t="inlineStr">
        <is>
          <t>Knock</t>
        </is>
      </c>
      <c r="C42" s="8" t="n">
        <v>3</v>
      </c>
      <c r="D42" s="9">
        <f>IF(C42=0,"never",ROUND(SUM($C$2:$C$88)/C42,1))</f>
        <v/>
      </c>
      <c r="E42" s="10" t="n"/>
      <c r="F42" s="11">
        <f>IF(OR(E42="",E42&lt;=1),"",ROUND((SUM($C$2:$C$88)-C42)/(E42-1),2))</f>
        <v/>
      </c>
    </row>
    <row r="43">
      <c r="A43" s="6" t="inlineStr">
        <is>
          <t>XenoArtifactEffectLightFlicker</t>
        </is>
      </c>
      <c r="B43" s="7" t="inlineStr">
        <is>
          <t>Light Flicker</t>
        </is>
      </c>
      <c r="C43" s="8" t="n">
        <v>10</v>
      </c>
      <c r="D43" s="9">
        <f>IF(C43=0,"never",ROUND(SUM($C$2:$C$88)/C43,1))</f>
        <v/>
      </c>
      <c r="E43" s="10" t="n"/>
      <c r="F43" s="11">
        <f>IF(OR(E43="",E43&lt;=1),"",ROUND((SUM($C$2:$C$88)-C43)/(E43-1),2))</f>
        <v/>
      </c>
    </row>
    <row r="44">
      <c r="A44" s="6" t="inlineStr">
        <is>
          <t>XenoArtifactMagnet</t>
        </is>
      </c>
      <c r="B44" s="7" t="inlineStr">
        <is>
          <t>Magnet</t>
        </is>
      </c>
      <c r="C44" s="8" t="n">
        <v>3</v>
      </c>
      <c r="D44" s="9">
        <f>IF(C44=0,"never",ROUND(SUM($C$2:$C$88)/C44,1))</f>
        <v/>
      </c>
      <c r="E44" s="10" t="n"/>
      <c r="F44" s="11">
        <f>IF(OR(E44="",E44&lt;=1),"",ROUND((SUM($C$2:$C$88)-C44)/(E44-1),2))</f>
        <v/>
      </c>
    </row>
    <row r="45">
      <c r="A45" s="6" t="inlineStr">
        <is>
          <t>XenoArtifactMagnetNegative</t>
        </is>
      </c>
      <c r="B45" s="7" t="inlineStr">
        <is>
          <t>Magnet Negative</t>
        </is>
      </c>
      <c r="C45" s="8" t="n">
        <v>3</v>
      </c>
      <c r="D45" s="9">
        <f>IF(C45=0,"never",ROUND(SUM($C$2:$C$88)/C45,1))</f>
        <v/>
      </c>
      <c r="E45" s="10" t="n"/>
      <c r="F45" s="11">
        <f>IF(OR(E45="",E45&lt;=1),"",ROUND((SUM($C$2:$C$88)-C45)/(E45-1),2))</f>
        <v/>
      </c>
    </row>
    <row r="46">
      <c r="A46" s="6" t="inlineStr">
        <is>
          <t>XenoArtifactMonkeySpawn</t>
        </is>
      </c>
      <c r="B46" s="7" t="inlineStr">
        <is>
          <t>Monkey Spawn</t>
        </is>
      </c>
      <c r="C46" s="8" t="n">
        <v>8</v>
      </c>
      <c r="D46" s="9">
        <f>IF(C46=0,"never",ROUND(SUM($C$2:$C$88)/C46,1))</f>
        <v/>
      </c>
      <c r="E46" s="10" t="n"/>
      <c r="F46" s="11">
        <f>IF(OR(E46="",E46&lt;=1),"",ROUND((SUM($C$2:$C$88)-C46)/(E46-1),2))</f>
        <v/>
      </c>
    </row>
    <row r="47">
      <c r="A47" s="6" t="inlineStr">
        <is>
          <t>XenoArtifactPhasing</t>
        </is>
      </c>
      <c r="B47" s="7" t="inlineStr">
        <is>
          <t>Phasing</t>
        </is>
      </c>
      <c r="C47" s="8" t="n">
        <v>8</v>
      </c>
      <c r="D47" s="9">
        <f>IF(C47=0,"never",ROUND(SUM($C$2:$C$88)/C47,1))</f>
        <v/>
      </c>
      <c r="E47" s="10" t="n"/>
      <c r="F47" s="11">
        <f>IF(OR(E47="",E47&lt;=1),"",ROUND((SUM($C$2:$C$88)-C47)/(E47-1),2))</f>
        <v/>
      </c>
    </row>
    <row r="48">
      <c r="A48" s="6" t="inlineStr">
        <is>
          <t>XenoArtifactPolyLuminous</t>
        </is>
      </c>
      <c r="B48" s="7" t="inlineStr">
        <is>
          <t>Poly Luminous</t>
        </is>
      </c>
      <c r="C48" s="8" t="n">
        <v>8</v>
      </c>
      <c r="D48" s="9">
        <f>IF(C48=0,"never",ROUND(SUM($C$2:$C$88)/C48,1))</f>
        <v/>
      </c>
      <c r="E48" s="10" t="n"/>
      <c r="F48" s="11">
        <f>IF(OR(E48="",E48&lt;=1),"",ROUND((SUM($C$2:$C$88)-C48)/(E48-1),2))</f>
        <v/>
      </c>
    </row>
    <row r="49">
      <c r="A49" s="6" t="inlineStr">
        <is>
          <t>XenoArtifactPolyLizard</t>
        </is>
      </c>
      <c r="B49" s="7" t="inlineStr">
        <is>
          <t>Poly Lizard</t>
        </is>
      </c>
      <c r="C49" s="8" t="n">
        <v>8</v>
      </c>
      <c r="D49" s="9">
        <f>IF(C49=0,"never",ROUND(SUM($C$2:$C$88)/C49,1))</f>
        <v/>
      </c>
      <c r="E49" s="10" t="n"/>
      <c r="F49" s="11">
        <f>IF(OR(E49="",E49&lt;=1),"",ROUND((SUM($C$2:$C$88)-C49)/(E49-1),2))</f>
        <v/>
      </c>
    </row>
    <row r="50">
      <c r="A50" s="6" t="inlineStr">
        <is>
          <t>XenoArtifactPolyMonkey</t>
        </is>
      </c>
      <c r="B50" s="7" t="inlineStr">
        <is>
          <t>Poly Monkey</t>
        </is>
      </c>
      <c r="C50" s="8" t="n">
        <v>8</v>
      </c>
      <c r="D50" s="9">
        <f>IF(C50=0,"never",ROUND(SUM($C$2:$C$88)/C50,1))</f>
        <v/>
      </c>
      <c r="E50" s="10" t="n"/>
      <c r="F50" s="11">
        <f>IF(OR(E50="",E50&lt;=1),"",ROUND((SUM($C$2:$C$88)-C50)/(E50-1),2))</f>
        <v/>
      </c>
    </row>
    <row r="51">
      <c r="A51" s="6" t="inlineStr">
        <is>
          <t>XenoArtifactPortal</t>
        </is>
      </c>
      <c r="B51" s="7" t="inlineStr">
        <is>
          <t>Portal</t>
        </is>
      </c>
      <c r="C51" s="8" t="n">
        <v>1</v>
      </c>
      <c r="D51" s="9">
        <f>IF(C51=0,"never",ROUND(SUM($C$2:$C$88)/C51,1))</f>
        <v/>
      </c>
      <c r="E51" s="10" t="n"/>
      <c r="F51" s="11">
        <f>IF(OR(E51="",E51&lt;=1),"",ROUND((SUM($C$2:$C$88)-C51)/(E51-1),2))</f>
        <v/>
      </c>
    </row>
    <row r="52">
      <c r="A52" s="6" t="inlineStr">
        <is>
          <t>XenoArtifactPotassiumWave</t>
        </is>
      </c>
      <c r="B52" s="7" t="inlineStr">
        <is>
          <t>Potassium Wave</t>
        </is>
      </c>
      <c r="C52" s="8" t="n">
        <v>8</v>
      </c>
      <c r="D52" s="9">
        <f>IF(C52=0,"never",ROUND(SUM($C$2:$C$88)/C52,1))</f>
        <v/>
      </c>
      <c r="E52" s="10" t="n"/>
      <c r="F52" s="11">
        <f>IF(OR(E52="",E52&lt;=1),"",ROUND((SUM($C$2:$C$88)-C52)/(E52-1),2))</f>
        <v/>
      </c>
    </row>
    <row r="53">
      <c r="A53" s="6" t="inlineStr">
        <is>
          <t>XenoArtifactPuddleRare</t>
        </is>
      </c>
      <c r="B53" s="7" t="inlineStr">
        <is>
          <t>Puddle Rare</t>
        </is>
      </c>
      <c r="C53" s="8" t="n">
        <v>1</v>
      </c>
      <c r="D53" s="9">
        <f>IF(C53=0,"never",ROUND(SUM($C$2:$C$88)/C53,1))</f>
        <v/>
      </c>
      <c r="E53" s="10" t="n"/>
      <c r="F53" s="11">
        <f>IF(OR(E53="",E53&lt;=1),"",ROUND((SUM($C$2:$C$88)-C53)/(E53-1),2))</f>
        <v/>
      </c>
    </row>
    <row r="54">
      <c r="A54" s="6" t="inlineStr">
        <is>
          <t>XenoArtifactRadioactive</t>
        </is>
      </c>
      <c r="B54" s="7" t="inlineStr">
        <is>
          <t>Radioactive</t>
        </is>
      </c>
      <c r="C54" s="8" t="n">
        <v>10</v>
      </c>
      <c r="D54" s="9">
        <f>IF(C54=0,"never",ROUND(SUM($C$2:$C$88)/C54,1))</f>
        <v/>
      </c>
      <c r="E54" s="10" t="n"/>
      <c r="F54" s="11">
        <f>IF(OR(E54="",E54&lt;=1),"",ROUND((SUM($C$2:$C$88)-C54)/(E54-1),2))</f>
        <v/>
      </c>
    </row>
    <row r="55">
      <c r="A55" s="6" t="inlineStr">
        <is>
          <t>XenoArtifactRadioactiveStrong</t>
        </is>
      </c>
      <c r="B55" s="7" t="inlineStr">
        <is>
          <t>Radioactive Strong</t>
        </is>
      </c>
      <c r="C55" s="8" t="n">
        <v>3</v>
      </c>
      <c r="D55" s="9">
        <f>IF(C55=0,"never",ROUND(SUM($C$2:$C$88)/C55,1))</f>
        <v/>
      </c>
      <c r="E55" s="10" t="n"/>
      <c r="F55" s="11">
        <f>IF(OR(E55="",E55&lt;=1),"",ROUND((SUM($C$2:$C$88)-C55)/(E55-1),2))</f>
        <v/>
      </c>
    </row>
    <row r="56">
      <c r="A56" s="6" t="inlineStr">
        <is>
          <t>XenoArtifactRandomInstrumentSpawn</t>
        </is>
      </c>
      <c r="B56" s="7" t="inlineStr">
        <is>
          <t>Random Instrument Spawn</t>
        </is>
      </c>
      <c r="C56" s="8" t="n">
        <v>10</v>
      </c>
      <c r="D56" s="9">
        <f>IF(C56=0,"never",ROUND(SUM($C$2:$C$88)/C56,1))</f>
        <v/>
      </c>
      <c r="E56" s="10" t="n"/>
      <c r="F56" s="11">
        <f>IF(OR(E56="",E56&lt;=1),"",ROUND((SUM($C$2:$C$88)-C56)/(E56-1),2))</f>
        <v/>
      </c>
    </row>
    <row r="57">
      <c r="A57" s="6" t="inlineStr">
        <is>
          <t>XenoArtifactShatterWindows</t>
        </is>
      </c>
      <c r="B57" s="7" t="inlineStr">
        <is>
          <t>Shatter Windows</t>
        </is>
      </c>
      <c r="C57" s="8" t="n">
        <v>8</v>
      </c>
      <c r="D57" s="9">
        <f>IF(C57=0,"never",ROUND(SUM($C$2:$C$88)/C57,1))</f>
        <v/>
      </c>
      <c r="E57" s="10" t="n"/>
      <c r="F57" s="11">
        <f>IF(OR(E57="",E57&lt;=1),"",ROUND((SUM($C$2:$C$88)-C57)/(E57-1),2))</f>
        <v/>
      </c>
    </row>
    <row r="58">
      <c r="A58" s="6" t="inlineStr">
        <is>
          <t>XenoArtifactShuffle</t>
        </is>
      </c>
      <c r="B58" s="7" t="inlineStr">
        <is>
          <t>Shuffle</t>
        </is>
      </c>
      <c r="C58" s="8" t="n">
        <v>3</v>
      </c>
      <c r="D58" s="9">
        <f>IF(C58=0,"never",ROUND(SUM($C$2:$C$88)/C58,1))</f>
        <v/>
      </c>
      <c r="E58" s="10" t="n"/>
      <c r="F58" s="11">
        <f>IF(OR(E58="",E58&lt;=1),"",ROUND((SUM($C$2:$C$88)-C58)/(E58-1),2))</f>
        <v/>
      </c>
    </row>
    <row r="59">
      <c r="A59" s="6" t="inlineStr">
        <is>
          <t>XenoArtifactSolutionStorage</t>
        </is>
      </c>
      <c r="B59" s="7" t="inlineStr">
        <is>
          <t>Solution Storage</t>
        </is>
      </c>
      <c r="C59" s="8" t="n">
        <v>10</v>
      </c>
      <c r="D59" s="9">
        <f>IF(C59=0,"never",ROUND(SUM($C$2:$C$88)/C59,1))</f>
        <v/>
      </c>
      <c r="E59" s="10" t="n"/>
      <c r="F59" s="11">
        <f>IF(OR(E59="",E59&lt;=1),"",ROUND((SUM($C$2:$C$88)-C59)/(E59-1),2))</f>
        <v/>
      </c>
    </row>
    <row r="60">
      <c r="A60" s="6" t="inlineStr">
        <is>
          <t>XenoArtifactAngryCarpSpawn</t>
        </is>
      </c>
      <c r="B60" s="7" t="inlineStr">
        <is>
          <t>Angry Carp Spawn</t>
        </is>
      </c>
      <c r="C60" s="8" t="n">
        <v>3</v>
      </c>
      <c r="D60" s="9">
        <f>IF(C60=0,"never",ROUND(SUM($C$2:$C$88)/C60,1))</f>
        <v/>
      </c>
      <c r="E60" s="10" t="n"/>
      <c r="F60" s="11">
        <f>IF(OR(E60="",E60&lt;=1),"",ROUND((SUM($C$2:$C$88)-C60)/(E60-1),2))</f>
        <v/>
      </c>
    </row>
    <row r="61">
      <c r="A61" s="6" t="inlineStr">
        <is>
          <t>XenoArtifactMaterialSpawnGlassFew</t>
        </is>
      </c>
      <c r="B61" s="7" t="inlineStr">
        <is>
          <t>Material Spawn Glass Few</t>
        </is>
      </c>
      <c r="C61" s="8" t="n">
        <v>10</v>
      </c>
      <c r="D61" s="9">
        <f>IF(C61=0,"never",ROUND(SUM($C$2:$C$88)/C61,1))</f>
        <v/>
      </c>
      <c r="E61" s="10" t="n"/>
      <c r="F61" s="11">
        <f>IF(OR(E61="",E61&lt;=1),"",ROUND((SUM($C$2:$C$88)-C61)/(E61-1),2))</f>
        <v/>
      </c>
    </row>
    <row r="62">
      <c r="A62" s="6" t="inlineStr">
        <is>
          <t>XenoArtifactMaterialSpawnGlassMany</t>
        </is>
      </c>
      <c r="B62" s="7" t="inlineStr">
        <is>
          <t>Material Spawn Glass Many</t>
        </is>
      </c>
      <c r="C62" s="8" t="n">
        <v>3</v>
      </c>
      <c r="D62" s="9">
        <f>IF(C62=0,"never",ROUND(SUM($C$2:$C$88)/C62,1))</f>
        <v/>
      </c>
      <c r="E62" s="10" t="n"/>
      <c r="F62" s="11">
        <f>IF(OR(E62="",E62&lt;=1),"",ROUND((SUM($C$2:$C$88)-C62)/(E62-1),2))</f>
        <v/>
      </c>
    </row>
    <row r="63">
      <c r="A63" s="6" t="inlineStr">
        <is>
          <t>XenoArtifactMaterialSpawnGlassStack</t>
        </is>
      </c>
      <c r="B63" s="7" t="inlineStr">
        <is>
          <t>Material Spawn Glass Stack</t>
        </is>
      </c>
      <c r="C63" s="8" t="n">
        <v>0</v>
      </c>
      <c r="D63" s="9">
        <f>IF(C63=0,"never",ROUND(SUM($C$2:$C$88)/C63,1))</f>
        <v/>
      </c>
      <c r="E63" s="10" t="n"/>
      <c r="F63" s="11">
        <f>IF(OR(E63="",E63&lt;=1),"",ROUND((SUM($C$2:$C$88)-C63)/(E63-1),2))</f>
        <v/>
      </c>
    </row>
    <row r="64">
      <c r="A64" s="6" t="inlineStr">
        <is>
          <t>XenoArtifactMaterialSpawnSteelFew</t>
        </is>
      </c>
      <c r="B64" s="7" t="inlineStr">
        <is>
          <t>Material Spawn Steel Few</t>
        </is>
      </c>
      <c r="C64" s="8" t="n">
        <v>10</v>
      </c>
      <c r="D64" s="9">
        <f>IF(C64=0,"never",ROUND(SUM($C$2:$C$88)/C64,1))</f>
        <v/>
      </c>
      <c r="E64" s="10" t="n"/>
      <c r="F64" s="11">
        <f>IF(OR(E64="",E64&lt;=1),"",ROUND((SUM($C$2:$C$88)-C64)/(E64-1),2))</f>
        <v/>
      </c>
    </row>
    <row r="65">
      <c r="A65" s="6" t="inlineStr">
        <is>
          <t>XenoArtifactMaterialSpawnSteelMany</t>
        </is>
      </c>
      <c r="B65" s="7" t="inlineStr">
        <is>
          <t>Material Spawn Steel Many</t>
        </is>
      </c>
      <c r="C65" s="8" t="n">
        <v>3</v>
      </c>
      <c r="D65" s="9">
        <f>IF(C65=0,"never",ROUND(SUM($C$2:$C$88)/C65,1))</f>
        <v/>
      </c>
      <c r="E65" s="10" t="n"/>
      <c r="F65" s="11">
        <f>IF(OR(E65="",E65&lt;=1),"",ROUND((SUM($C$2:$C$88)-C65)/(E65-1),2))</f>
        <v/>
      </c>
    </row>
    <row r="66">
      <c r="A66" s="6" t="inlineStr">
        <is>
          <t>XenoArtifactMaterialSpawnSteelStack</t>
        </is>
      </c>
      <c r="B66" s="7" t="inlineStr">
        <is>
          <t>Material Spawn Steel Stack</t>
        </is>
      </c>
      <c r="C66" s="8" t="n">
        <v>0</v>
      </c>
      <c r="D66" s="9">
        <f>IF(C66=0,"never",ROUND(SUM($C$2:$C$88)/C66,1))</f>
        <v/>
      </c>
      <c r="E66" s="10" t="n"/>
      <c r="F66" s="11">
        <f>IF(OR(E66="",E66&lt;=1),"",ROUND((SUM($C$2:$C$88)-C66)/(E66-1),2))</f>
        <v/>
      </c>
    </row>
    <row r="67">
      <c r="A67" s="6" t="inlineStr">
        <is>
          <t>XenoArtifactMaterialSpawnPlasticFew</t>
        </is>
      </c>
      <c r="B67" s="7" t="inlineStr">
        <is>
          <t>Material Spawn Plastic Few</t>
        </is>
      </c>
      <c r="C67" s="8" t="n">
        <v>10</v>
      </c>
      <c r="D67" s="9">
        <f>IF(C67=0,"never",ROUND(SUM($C$2:$C$88)/C67,1))</f>
        <v/>
      </c>
      <c r="E67" s="10" t="n"/>
      <c r="F67" s="11">
        <f>IF(OR(E67="",E67&lt;=1),"",ROUND((SUM($C$2:$C$88)-C67)/(E67-1),2))</f>
        <v/>
      </c>
    </row>
    <row r="68">
      <c r="A68" s="6" t="inlineStr">
        <is>
          <t>XenoArtifactMaterialSpawnPlasticMany</t>
        </is>
      </c>
      <c r="B68" s="7" t="inlineStr">
        <is>
          <t>Material Spawn Plastic Many</t>
        </is>
      </c>
      <c r="C68" s="8" t="n">
        <v>3</v>
      </c>
      <c r="D68" s="9">
        <f>IF(C68=0,"never",ROUND(SUM($C$2:$C$88)/C68,1))</f>
        <v/>
      </c>
      <c r="E68" s="10" t="n"/>
      <c r="F68" s="11">
        <f>IF(OR(E68="",E68&lt;=1),"",ROUND((SUM($C$2:$C$88)-C68)/(E68-1),2))</f>
        <v/>
      </c>
    </row>
    <row r="69">
      <c r="A69" s="6" t="inlineStr">
        <is>
          <t>XenoArtifactMaterialSpawnPlasticStack</t>
        </is>
      </c>
      <c r="B69" s="7" t="inlineStr">
        <is>
          <t>Material Spawn Plastic Stack</t>
        </is>
      </c>
      <c r="C69" s="8" t="n">
        <v>0</v>
      </c>
      <c r="D69" s="9">
        <f>IF(C69=0,"never",ROUND(SUM($C$2:$C$88)/C69,1))</f>
        <v/>
      </c>
      <c r="E69" s="10" t="n"/>
      <c r="F69" s="11">
        <f>IF(OR(E69="",E69&lt;=1),"",ROUND((SUM($C$2:$C$88)-C69)/(E69-1),2))</f>
        <v/>
      </c>
    </row>
    <row r="70">
      <c r="A70" s="6" t="inlineStr">
        <is>
          <t>XenoArtifactRawMaterialSpawnBananiumFew</t>
        </is>
      </c>
      <c r="B70" s="7" t="inlineStr">
        <is>
          <t>Raw Material Spawn Bananium Few</t>
        </is>
      </c>
      <c r="C70" s="8" t="n">
        <v>3</v>
      </c>
      <c r="D70" s="9">
        <f>IF(C70=0,"never",ROUND(SUM($C$2:$C$88)/C70,1))</f>
        <v/>
      </c>
      <c r="E70" s="10" t="n"/>
      <c r="F70" s="11">
        <f>IF(OR(E70="",E70&lt;=1),"",ROUND((SUM($C$2:$C$88)-C70)/(E70-1),2))</f>
        <v/>
      </c>
    </row>
    <row r="71">
      <c r="A71" s="6" t="inlineStr">
        <is>
          <t>XenoArtifactRawMaterialSpawnBananiumMore</t>
        </is>
      </c>
      <c r="B71" s="7" t="inlineStr">
        <is>
          <t>Raw Material Spawn Bananium More</t>
        </is>
      </c>
      <c r="C71" s="8" t="n">
        <v>1</v>
      </c>
      <c r="D71" s="9">
        <f>IF(C71=0,"never",ROUND(SUM($C$2:$C$88)/C71,1))</f>
        <v/>
      </c>
      <c r="E71" s="10" t="n"/>
      <c r="F71" s="11">
        <f>IF(OR(E71="",E71&lt;=1),"",ROUND((SUM($C$2:$C$88)-C71)/(E71-1),2))</f>
        <v/>
      </c>
    </row>
    <row r="72">
      <c r="A72" s="6" t="inlineStr">
        <is>
          <t>XenoArtifactRawMaterialSpawnBananiumMany</t>
        </is>
      </c>
      <c r="B72" s="7" t="inlineStr">
        <is>
          <t>Raw Material Spawn Bananium Many</t>
        </is>
      </c>
      <c r="C72" s="8" t="n">
        <v>0</v>
      </c>
      <c r="D72" s="9">
        <f>IF(C72=0,"never",ROUND(SUM($C$2:$C$88)/C72,1))</f>
        <v/>
      </c>
      <c r="E72" s="10" t="n"/>
      <c r="F72" s="11">
        <f>IF(OR(E72="",E72&lt;=1),"",ROUND((SUM($C$2:$C$88)-C72)/(E72-1),2))</f>
        <v/>
      </c>
    </row>
    <row r="73">
      <c r="A73" s="6" t="inlineStr">
        <is>
          <t>XenoArtifactRawMaterialSpawnGoldFew</t>
        </is>
      </c>
      <c r="B73" s="7" t="inlineStr">
        <is>
          <t>Raw Material Spawn Gold Few</t>
        </is>
      </c>
      <c r="C73" s="8" t="n">
        <v>10</v>
      </c>
      <c r="D73" s="9">
        <f>IF(C73=0,"never",ROUND(SUM($C$2:$C$88)/C73,1))</f>
        <v/>
      </c>
      <c r="E73" s="10" t="n"/>
      <c r="F73" s="11">
        <f>IF(OR(E73="",E73&lt;=1),"",ROUND((SUM($C$2:$C$88)-C73)/(E73-1),2))</f>
        <v/>
      </c>
    </row>
    <row r="74">
      <c r="A74" s="6" t="inlineStr">
        <is>
          <t>XenoArtifactRawMaterialSpawnGoldMore</t>
        </is>
      </c>
      <c r="B74" s="7" t="inlineStr">
        <is>
          <t>Raw Material Spawn Gold More</t>
        </is>
      </c>
      <c r="C74" s="8" t="n">
        <v>1</v>
      </c>
      <c r="D74" s="9">
        <f>IF(C74=0,"never",ROUND(SUM($C$2:$C$88)/C74,1))</f>
        <v/>
      </c>
      <c r="E74" s="10" t="n"/>
      <c r="F74" s="11">
        <f>IF(OR(E74="",E74&lt;=1),"",ROUND((SUM($C$2:$C$88)-C74)/(E74-1),2))</f>
        <v/>
      </c>
    </row>
    <row r="75">
      <c r="A75" s="6" t="inlineStr">
        <is>
          <t>XenoArtifactRawMaterialSpawnGoldMany</t>
        </is>
      </c>
      <c r="B75" s="7" t="inlineStr">
        <is>
          <t>Raw Material Spawn Gold Many</t>
        </is>
      </c>
      <c r="C75" s="8" t="n">
        <v>0</v>
      </c>
      <c r="D75" s="9">
        <f>IF(C75=0,"never",ROUND(SUM($C$2:$C$88)/C75,1))</f>
        <v/>
      </c>
      <c r="E75" s="10" t="n"/>
      <c r="F75" s="11">
        <f>IF(OR(E75="",E75&lt;=1),"",ROUND((SUM($C$2:$C$88)-C75)/(E75-1),2))</f>
        <v/>
      </c>
    </row>
    <row r="76">
      <c r="A76" s="6" t="inlineStr">
        <is>
          <t>XenoArtifactRawMaterialSpawnPlasmaFew</t>
        </is>
      </c>
      <c r="B76" s="7" t="inlineStr">
        <is>
          <t>Raw Material Spawn Plasma Few</t>
        </is>
      </c>
      <c r="C76" s="8" t="n">
        <v>10</v>
      </c>
      <c r="D76" s="9">
        <f>IF(C76=0,"never",ROUND(SUM($C$2:$C$88)/C76,1))</f>
        <v/>
      </c>
      <c r="E76" s="10" t="n"/>
      <c r="F76" s="11">
        <f>IF(OR(E76="",E76&lt;=1),"",ROUND((SUM($C$2:$C$88)-C76)/(E76-1),2))</f>
        <v/>
      </c>
    </row>
    <row r="77">
      <c r="A77" s="6" t="inlineStr">
        <is>
          <t>XenoArtifactRawMaterialSpawnPlasmaMore</t>
        </is>
      </c>
      <c r="B77" s="7" t="inlineStr">
        <is>
          <t>Raw Material Spawn Plasma More</t>
        </is>
      </c>
      <c r="C77" s="8" t="n">
        <v>1</v>
      </c>
      <c r="D77" s="9">
        <f>IF(C77=0,"never",ROUND(SUM($C$2:$C$88)/C77,1))</f>
        <v/>
      </c>
      <c r="E77" s="10" t="n"/>
      <c r="F77" s="11">
        <f>IF(OR(E77="",E77&lt;=1),"",ROUND((SUM($C$2:$C$88)-C77)/(E77-1),2))</f>
        <v/>
      </c>
    </row>
    <row r="78">
      <c r="A78" s="6" t="inlineStr">
        <is>
          <t>XenoArtifactRawMaterialSpawnPlasmaMany</t>
        </is>
      </c>
      <c r="B78" s="7" t="inlineStr">
        <is>
          <t>Raw Material Spawn Plasma Many</t>
        </is>
      </c>
      <c r="C78" s="8" t="n">
        <v>0</v>
      </c>
      <c r="D78" s="9">
        <f>IF(C78=0,"never",ROUND(SUM($C$2:$C$88)/C78,1))</f>
        <v/>
      </c>
      <c r="E78" s="10" t="n"/>
      <c r="F78" s="11">
        <f>IF(OR(E78="",E78&lt;=1),"",ROUND((SUM($C$2:$C$88)-C78)/(E78-1),2))</f>
        <v/>
      </c>
    </row>
    <row r="79">
      <c r="A79" s="6" t="inlineStr">
        <is>
          <t>XenoArtifactRawMaterialSpawnSilverFew</t>
        </is>
      </c>
      <c r="B79" s="7" t="inlineStr">
        <is>
          <t>Raw Material Spawn Silver Few</t>
        </is>
      </c>
      <c r="C79" s="8" t="n">
        <v>10</v>
      </c>
      <c r="D79" s="9">
        <f>IF(C79=0,"never",ROUND(SUM($C$2:$C$88)/C79,1))</f>
        <v/>
      </c>
      <c r="E79" s="10" t="n"/>
      <c r="F79" s="11">
        <f>IF(OR(E79="",E79&lt;=1),"",ROUND((SUM($C$2:$C$88)-C79)/(E79-1),2))</f>
        <v/>
      </c>
    </row>
    <row r="80">
      <c r="A80" s="6" t="inlineStr">
        <is>
          <t>XenoArtifactRawMaterialSpawnSilverMore</t>
        </is>
      </c>
      <c r="B80" s="7" t="inlineStr">
        <is>
          <t>Raw Material Spawn Silver More</t>
        </is>
      </c>
      <c r="C80" s="8" t="n">
        <v>1</v>
      </c>
      <c r="D80" s="9">
        <f>IF(C80=0,"never",ROUND(SUM($C$2:$C$88)/C80,1))</f>
        <v/>
      </c>
      <c r="E80" s="10" t="n"/>
      <c r="F80" s="11">
        <f>IF(OR(E80="",E80&lt;=1),"",ROUND((SUM($C$2:$C$88)-C80)/(E80-1),2))</f>
        <v/>
      </c>
    </row>
    <row r="81">
      <c r="A81" s="6" t="inlineStr">
        <is>
          <t>XenoArtifactRawMaterialSpawnSilverMany</t>
        </is>
      </c>
      <c r="B81" s="7" t="inlineStr">
        <is>
          <t>Raw Material Spawn Silver Many</t>
        </is>
      </c>
      <c r="C81" s="8" t="n">
        <v>0</v>
      </c>
      <c r="D81" s="9">
        <f>IF(C81=0,"never",ROUND(SUM($C$2:$C$88)/C81,1))</f>
        <v/>
      </c>
      <c r="E81" s="10" t="n"/>
      <c r="F81" s="11">
        <f>IF(OR(E81="",E81&lt;=1),"",ROUND((SUM($C$2:$C$88)-C81)/(E81-1),2))</f>
        <v/>
      </c>
    </row>
    <row r="82">
      <c r="A82" s="6" t="inlineStr">
        <is>
          <t>XenoArtifactRawMaterialSpawnUraniumFew</t>
        </is>
      </c>
      <c r="B82" s="7" t="inlineStr">
        <is>
          <t>Raw Material Spawn Uranium Few</t>
        </is>
      </c>
      <c r="C82" s="8" t="n">
        <v>10</v>
      </c>
      <c r="D82" s="9">
        <f>IF(C82=0,"never",ROUND(SUM($C$2:$C$88)/C82,1))</f>
        <v/>
      </c>
      <c r="E82" s="10" t="n"/>
      <c r="F82" s="11">
        <f>IF(OR(E82="",E82&lt;=1),"",ROUND((SUM($C$2:$C$88)-C82)/(E82-1),2))</f>
        <v/>
      </c>
    </row>
    <row r="83">
      <c r="A83" s="6" t="inlineStr">
        <is>
          <t>XenoArtifactRawMaterialSpawnUraniumMore</t>
        </is>
      </c>
      <c r="B83" s="7" t="inlineStr">
        <is>
          <t>Raw Material Spawn Uranium More</t>
        </is>
      </c>
      <c r="C83" s="8" t="n">
        <v>1</v>
      </c>
      <c r="D83" s="9">
        <f>IF(C83=0,"never",ROUND(SUM($C$2:$C$88)/C83,1))</f>
        <v/>
      </c>
      <c r="E83" s="10" t="n"/>
      <c r="F83" s="11">
        <f>IF(OR(E83="",E83&lt;=1),"",ROUND((SUM($C$2:$C$88)-C83)/(E83-1),2))</f>
        <v/>
      </c>
    </row>
    <row r="84">
      <c r="A84" s="6" t="inlineStr">
        <is>
          <t>XenoArtifactRawMaterialSpawnUraniumMany</t>
        </is>
      </c>
      <c r="B84" s="7" t="inlineStr">
        <is>
          <t>Raw Material Spawn Uranium Many</t>
        </is>
      </c>
      <c r="C84" s="8" t="n">
        <v>0</v>
      </c>
      <c r="D84" s="9">
        <f>IF(C84=0,"never",ROUND(SUM($C$2:$C$88)/C84,1))</f>
        <v/>
      </c>
      <c r="E84" s="10" t="n"/>
      <c r="F84" s="11">
        <f>IF(OR(E84="",E84&lt;=1),"",ROUND((SUM($C$2:$C$88)-C84)/(E84-1),2))</f>
        <v/>
      </c>
    </row>
    <row r="85">
      <c r="A85" s="6" t="inlineStr">
        <is>
          <t>XenoArtifactStealth</t>
        </is>
      </c>
      <c r="B85" s="7" t="inlineStr">
        <is>
          <t>Stealth</t>
        </is>
      </c>
      <c r="C85" s="8" t="n">
        <v>3</v>
      </c>
      <c r="D85" s="9">
        <f>IF(C85=0,"never",ROUND(SUM($C$2:$C$88)/C85,1))</f>
        <v/>
      </c>
      <c r="E85" s="10" t="n"/>
      <c r="F85" s="11">
        <f>IF(OR(E85="",E85&lt;=1),"",ROUND((SUM($C$2:$C$88)-C85)/(E85-1),2))</f>
        <v/>
      </c>
    </row>
    <row r="86">
      <c r="A86" s="6" t="inlineStr">
        <is>
          <t>XenoArtifactTeleport</t>
        </is>
      </c>
      <c r="B86" s="7" t="inlineStr">
        <is>
          <t>Teleport</t>
        </is>
      </c>
      <c r="C86" s="8" t="n">
        <v>3</v>
      </c>
      <c r="D86" s="9">
        <f>IF(C86=0,"never",ROUND(SUM($C$2:$C$88)/C86,1))</f>
        <v/>
      </c>
      <c r="E86" s="10" t="n"/>
      <c r="F86" s="11">
        <f>IF(OR(E86="",E86&lt;=1),"",ROUND((SUM($C$2:$C$88)-C86)/(E86-1),2))</f>
        <v/>
      </c>
    </row>
    <row r="87">
      <c r="A87" s="6" t="inlineStr">
        <is>
          <t>XenoArtifactThrowThingsAround</t>
        </is>
      </c>
      <c r="B87" s="7" t="inlineStr">
        <is>
          <t>Throw Things Around</t>
        </is>
      </c>
      <c r="C87" s="8" t="n">
        <v>8</v>
      </c>
      <c r="D87" s="9">
        <f>IF(C87=0,"never",ROUND(SUM($C$2:$C$88)/C87,1))</f>
        <v/>
      </c>
      <c r="E87" s="10" t="n"/>
      <c r="F87" s="11">
        <f>IF(OR(E87="",E87&lt;=1),"",ROUND((SUM($C$2:$C$88)-C87)/(E87-1),2))</f>
        <v/>
      </c>
    </row>
    <row r="88">
      <c r="A88" s="6" t="inlineStr">
        <is>
          <t>XenoArtifactWandering</t>
        </is>
      </c>
      <c r="B88" s="7" t="inlineStr">
        <is>
          <t>Wandering</t>
        </is>
      </c>
      <c r="C88" s="8" t="n">
        <v>8</v>
      </c>
      <c r="D88" s="9">
        <f>IF(C88=0,"never",ROUND(SUM($C$2:$C$88)/C88,1))</f>
        <v/>
      </c>
      <c r="E88" s="10" t="n"/>
      <c r="F88" s="11">
        <f>IF(OR(E88="",E88&lt;=1),"",ROUND((SUM($C$2:$C$88)-C88)/(E88-1),2))</f>
        <v/>
      </c>
    </row>
    <row r="89">
      <c r="A89" s="12" t="n"/>
      <c r="B89" s="13" t="inlineStr">
        <is>
          <t>TOTAL WEIGHT</t>
        </is>
      </c>
      <c r="C89" s="14">
        <f>SUM($C$2:$C$88)</f>
        <v/>
      </c>
      <c r="D89" s="12" t="n"/>
      <c r="E89" s="12" t="n"/>
      <c r="F89" s="1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1" customWidth="1" min="3" max="3"/>
    <col width="15" customWidth="1" min="4" max="4"/>
    <col width="14" customWidth="1" min="5" max="5"/>
    <col width="16" customWidth="1" min="6" max="6"/>
  </cols>
  <sheetData>
    <row r="1" ht="30" customHeight="1">
      <c r="A1" s="5" t="inlineStr">
        <is>
          <t>ID (do not edit)</t>
        </is>
      </c>
      <c r="B1" s="5" t="inlineStr">
        <is>
          <t>Description</t>
        </is>
      </c>
      <c r="C1" s="5" t="inlineStr">
        <is>
          <t>Weight</t>
        </is>
      </c>
      <c r="D1" s="5" t="inlineStr">
        <is>
          <t>Appears ~1 in X</t>
        </is>
      </c>
      <c r="E1" s="5" t="inlineStr">
        <is>
          <t>Target: 1 in X</t>
        </is>
      </c>
      <c r="F1" s="5" t="inlineStr">
        <is>
          <t>Suggested weight</t>
        </is>
      </c>
    </row>
    <row r="2">
      <c r="A2" s="6" t="inlineStr">
        <is>
          <t>XenoArtifactEffectLaughingFit</t>
        </is>
      </c>
      <c r="B2" s="7" t="inlineStr">
        <is>
          <t>Laughing Fit</t>
        </is>
      </c>
      <c r="C2" s="8" t="n">
        <v>7</v>
      </c>
      <c r="D2" s="9">
        <f>IF(C2=0,"never",ROUND(SUM($C$2:$C$88)/C2,1))</f>
        <v/>
      </c>
      <c r="E2" s="10" t="n"/>
      <c r="F2" s="11">
        <f>IF(OR(E2="",E2&lt;=1),"",ROUND((SUM($C$2:$C$88)-C2)/(E2-1),2))</f>
        <v/>
      </c>
    </row>
    <row r="3">
      <c r="A3" s="6" t="inlineStr">
        <is>
          <t>XenoArtifactEffectSighingFit</t>
        </is>
      </c>
      <c r="B3" s="7" t="inlineStr">
        <is>
          <t>Sighing Fit</t>
        </is>
      </c>
      <c r="C3" s="8" t="n">
        <v>7</v>
      </c>
      <c r="D3" s="9">
        <f>IF(C3=0,"never",ROUND(SUM($C$2:$C$88)/C3,1))</f>
        <v/>
      </c>
      <c r="E3" s="10" t="n"/>
      <c r="F3" s="11">
        <f>IF(OR(E3="",E3&lt;=1),"",ROUND((SUM($C$2:$C$88)-C3)/(E3-1),2))</f>
        <v/>
      </c>
    </row>
    <row r="4">
      <c r="A4" s="6" t="inlineStr">
        <is>
          <t>XenoArtifactEffectSneezingFit</t>
        </is>
      </c>
      <c r="B4" s="7" t="inlineStr">
        <is>
          <t>Sneezing Fit</t>
        </is>
      </c>
      <c r="C4" s="8" t="n">
        <v>7</v>
      </c>
      <c r="D4" s="9">
        <f>IF(C4=0,"never",ROUND(SUM($C$2:$C$88)/C4,1))</f>
        <v/>
      </c>
      <c r="E4" s="10" t="n"/>
      <c r="F4" s="11">
        <f>IF(OR(E4="",E4&lt;=1),"",ROUND((SUM($C$2:$C$88)-C4)/(E4-1),2))</f>
        <v/>
      </c>
    </row>
    <row r="5">
      <c r="A5" s="6" t="inlineStr">
        <is>
          <t>XenoArtifactEffectCoughingFit</t>
        </is>
      </c>
      <c r="B5" s="7" t="inlineStr">
        <is>
          <t>Coughing Fit</t>
        </is>
      </c>
      <c r="C5" s="8" t="n">
        <v>7</v>
      </c>
      <c r="D5" s="9">
        <f>IF(C5=0,"never",ROUND(SUM($C$2:$C$88)/C5,1))</f>
        <v/>
      </c>
      <c r="E5" s="10" t="n"/>
      <c r="F5" s="11">
        <f>IF(OR(E5="",E5&lt;=1),"",ROUND((SUM($C$2:$C$88)-C5)/(E5-1),2))</f>
        <v/>
      </c>
    </row>
    <row r="6">
      <c r="A6" s="6" t="inlineStr">
        <is>
          <t>XenoArtifactEffectWhistlingFit</t>
        </is>
      </c>
      <c r="B6" s="7" t="inlineStr">
        <is>
          <t>Whistling Fit</t>
        </is>
      </c>
      <c r="C6" s="8" t="n">
        <v>7</v>
      </c>
      <c r="D6" s="9">
        <f>IF(C6=0,"never",ROUND(SUM($C$2:$C$88)/C6,1))</f>
        <v/>
      </c>
      <c r="E6" s="10" t="n"/>
      <c r="F6" s="11">
        <f>IF(OR(E6="",E6&lt;=1),"",ROUND((SUM($C$2:$C$88)-C6)/(E6-1),2))</f>
        <v/>
      </c>
    </row>
    <row r="7">
      <c r="A7" s="6" t="inlineStr">
        <is>
          <t>XenoArtifactEffectCryingFit</t>
        </is>
      </c>
      <c r="B7" s="7" t="inlineStr">
        <is>
          <t>Crying Fit</t>
        </is>
      </c>
      <c r="C7" s="8" t="n">
        <v>7</v>
      </c>
      <c r="D7" s="9">
        <f>IF(C7=0,"never",ROUND(SUM($C$2:$C$88)/C7,1))</f>
        <v/>
      </c>
      <c r="E7" s="10" t="n"/>
      <c r="F7" s="11">
        <f>IF(OR(E7="",E7&lt;=1),"",ROUND((SUM($C$2:$C$88)-C7)/(E7-1),2))</f>
        <v/>
      </c>
    </row>
    <row r="8">
      <c r="A8" s="6" t="inlineStr">
        <is>
          <t>XenoArtifactEffectYawningFit</t>
        </is>
      </c>
      <c r="B8" s="7" t="inlineStr">
        <is>
          <t>Yawning Fit</t>
        </is>
      </c>
      <c r="C8" s="8" t="n">
        <v>7</v>
      </c>
      <c r="D8" s="9">
        <f>IF(C8=0,"never",ROUND(SUM($C$2:$C$88)/C8,1))</f>
        <v/>
      </c>
      <c r="E8" s="10" t="n"/>
      <c r="F8" s="11">
        <f>IF(OR(E8="",E8&lt;=1),"",ROUND((SUM($C$2:$C$88)-C8)/(E8-1),2))</f>
        <v/>
      </c>
    </row>
    <row r="9">
      <c r="A9" s="6" t="inlineStr">
        <is>
          <t>XenoArtifactEffectScreamingFit</t>
        </is>
      </c>
      <c r="B9" s="7" t="inlineStr">
        <is>
          <t>Screaming Fit</t>
        </is>
      </c>
      <c r="C9" s="8" t="n">
        <v>7</v>
      </c>
      <c r="D9" s="9">
        <f>IF(C9=0,"never",ROUND(SUM($C$2:$C$88)/C9,1))</f>
        <v/>
      </c>
      <c r="E9" s="10" t="n"/>
      <c r="F9" s="11">
        <f>IF(OR(E9="",E9&lt;=1),"",ROUND((SUM($C$2:$C$88)-C9)/(E9-1),2))</f>
        <v/>
      </c>
    </row>
    <row r="10">
      <c r="A10" s="6" t="inlineStr">
        <is>
          <t>XenoArtifactAnomalySpawn</t>
        </is>
      </c>
      <c r="B10" s="7" t="inlineStr">
        <is>
          <t>Anomaly Spawn</t>
        </is>
      </c>
      <c r="C10" s="8" t="n">
        <v>1</v>
      </c>
      <c r="D10" s="9">
        <f>IF(C10=0,"never",ROUND(SUM($C$2:$C$88)/C10,1))</f>
        <v/>
      </c>
      <c r="E10" s="10" t="n"/>
      <c r="F10" s="11">
        <f>IF(OR(E10="",E10&lt;=1),"",ROUND((SUM($C$2:$C$88)-C10)/(E10-1),2))</f>
        <v/>
      </c>
    </row>
    <row r="11">
      <c r="A11" s="6" t="inlineStr">
        <is>
          <t>XenoArtifactArtifactSpawn</t>
        </is>
      </c>
      <c r="B11" s="7" t="inlineStr">
        <is>
          <t>Artifact Spawn</t>
        </is>
      </c>
      <c r="C11" s="8" t="n">
        <v>1</v>
      </c>
      <c r="D11" s="9">
        <f>IF(C11=0,"never",ROUND(SUM($C$2:$C$88)/C11,1))</f>
        <v/>
      </c>
      <c r="E11" s="10" t="n"/>
      <c r="F11" s="11">
        <f>IF(OR(E11="",E11&lt;=1),"",ROUND((SUM($C$2:$C$88)-C11)/(E11-1),2))</f>
        <v/>
      </c>
    </row>
    <row r="12">
      <c r="A12" s="6" t="inlineStr">
        <is>
          <t>XenoArtifactEffectBadFeeling</t>
        </is>
      </c>
      <c r="B12" s="7" t="inlineStr">
        <is>
          <t>Bad Feeling</t>
        </is>
      </c>
      <c r="C12" s="8" t="n">
        <v>8</v>
      </c>
      <c r="D12" s="9">
        <f>IF(C12=0,"never",ROUND(SUM($C$2:$C$88)/C12,1))</f>
        <v/>
      </c>
      <c r="E12" s="10" t="n"/>
      <c r="F12" s="11">
        <f>IF(OR(E12="",E12&lt;=1),"",ROUND((SUM($C$2:$C$88)-C12)/(E12-1),2))</f>
        <v/>
      </c>
    </row>
    <row r="13">
      <c r="A13" s="6" t="inlineStr">
        <is>
          <t>XenoArtifactBoom</t>
        </is>
      </c>
      <c r="B13" s="7" t="inlineStr">
        <is>
          <t>Boom</t>
        </is>
      </c>
      <c r="C13" s="8" t="n">
        <v>1</v>
      </c>
      <c r="D13" s="9">
        <f>IF(C13=0,"never",ROUND(SUM($C$2:$C$88)/C13,1))</f>
        <v/>
      </c>
      <c r="E13" s="10" t="n"/>
      <c r="F13" s="11">
        <f>IF(OR(E13="",E13&lt;=1),"",ROUND((SUM($C$2:$C$88)-C13)/(E13-1),2))</f>
        <v/>
      </c>
    </row>
    <row r="14">
      <c r="A14" s="6" t="inlineStr">
        <is>
          <t>XenoArtifactCashSpawn</t>
        </is>
      </c>
      <c r="B14" s="7" t="inlineStr">
        <is>
          <t>Cash Spawn</t>
        </is>
      </c>
      <c r="C14" s="8" t="n">
        <v>1</v>
      </c>
      <c r="D14" s="9">
        <f>IF(C14=0,"never",ROUND(SUM($C$2:$C$88)/C14,1))</f>
        <v/>
      </c>
      <c r="E14" s="10" t="n"/>
      <c r="F14" s="11">
        <f>IF(OR(E14="",E14&lt;=1),"",ROUND((SUM($C$2:$C$88)-C14)/(E14-1),2))</f>
        <v/>
      </c>
    </row>
    <row r="15">
      <c r="A15" s="6" t="inlineStr">
        <is>
          <t>XenoArtifactOldCashSpawn</t>
        </is>
      </c>
      <c r="B15" s="7" t="inlineStr">
        <is>
          <t>Old Cash Spawn</t>
        </is>
      </c>
      <c r="C15" s="8" t="n">
        <v>3</v>
      </c>
      <c r="D15" s="9">
        <f>IF(C15=0,"never",ROUND(SUM($C$2:$C$88)/C15,1))</f>
        <v/>
      </c>
      <c r="E15" s="10" t="n"/>
      <c r="F15" s="11">
        <f>IF(OR(E15="",E15&lt;=1),"",ROUND((SUM($C$2:$C$88)-C15)/(E15-1),2))</f>
        <v/>
      </c>
    </row>
    <row r="16">
      <c r="A16" s="6" t="inlineStr">
        <is>
          <t>XenoArtifactChargeBatteryLow</t>
        </is>
      </c>
      <c r="B16" s="7" t="inlineStr">
        <is>
          <t>Charge Battery Low</t>
        </is>
      </c>
      <c r="C16" s="8" t="n">
        <v>8</v>
      </c>
      <c r="D16" s="9">
        <f>IF(C16=0,"never",ROUND(SUM($C$2:$C$88)/C16,1))</f>
        <v/>
      </c>
      <c r="E16" s="10" t="n"/>
      <c r="F16" s="11">
        <f>IF(OR(E16="",E16&lt;=1),"",ROUND((SUM($C$2:$C$88)-C16)/(E16-1),2))</f>
        <v/>
      </c>
    </row>
    <row r="17">
      <c r="A17" s="6" t="inlineStr">
        <is>
          <t>XenoArtifactChargeBattery</t>
        </is>
      </c>
      <c r="B17" s="7" t="inlineStr">
        <is>
          <t>Charge Battery</t>
        </is>
      </c>
      <c r="C17" s="8" t="n">
        <v>3</v>
      </c>
      <c r="D17" s="9">
        <f>IF(C17=0,"never",ROUND(SUM($C$2:$C$88)/C17,1))</f>
        <v/>
      </c>
      <c r="E17" s="10" t="n"/>
      <c r="F17" s="11">
        <f>IF(OR(E17="",E17&lt;=1),"",ROUND((SUM($C$2:$C$88)-C17)/(E17-1),2))</f>
        <v/>
      </c>
    </row>
    <row r="18">
      <c r="A18" s="6" t="inlineStr">
        <is>
          <t>XenoArtifactChemicalPuddle</t>
        </is>
      </c>
      <c r="B18" s="7" t="inlineStr">
        <is>
          <t>Chemical Puddle</t>
        </is>
      </c>
      <c r="C18" s="8" t="n">
        <v>10</v>
      </c>
      <c r="D18" s="9">
        <f>IF(C18=0,"never",ROUND(SUM($C$2:$C$88)/C18,1))</f>
        <v/>
      </c>
      <c r="E18" s="10" t="n"/>
      <c r="F18" s="11">
        <f>IF(OR(E18="",E18&lt;=1),"",ROUND((SUM($C$2:$C$88)-C18)/(E18-1),2))</f>
        <v/>
      </c>
    </row>
    <row r="19">
      <c r="A19" s="6" t="inlineStr">
        <is>
          <t>XenoArtifactColdWave</t>
        </is>
      </c>
      <c r="B19" s="7" t="inlineStr">
        <is>
          <t>Cold Wave</t>
        </is>
      </c>
      <c r="C19" s="8" t="n">
        <v>10</v>
      </c>
      <c r="D19" s="9">
        <f>IF(C19=0,"never",ROUND(SUM($C$2:$C$88)/C19,1))</f>
        <v/>
      </c>
      <c r="E19" s="10" t="n"/>
      <c r="F19" s="11">
        <f>IF(OR(E19="",E19&lt;=1),"",ROUND((SUM($C$2:$C$88)-C19)/(E19-1),2))</f>
        <v/>
      </c>
    </row>
    <row r="20">
      <c r="A20" s="6" t="inlineStr">
        <is>
          <t>XenoArtifactEffectCreationGasAmmonia</t>
        </is>
      </c>
      <c r="B20" s="7" t="inlineStr">
        <is>
          <t>Creation Gas Ammonia</t>
        </is>
      </c>
      <c r="C20" s="8" t="n">
        <v>3</v>
      </c>
      <c r="D20" s="9">
        <f>IF(C20=0,"never",ROUND(SUM($C$2:$C$88)/C20,1))</f>
        <v/>
      </c>
      <c r="E20" s="10" t="n"/>
      <c r="F20" s="11">
        <f>IF(OR(E20="",E20&lt;=1),"",ROUND((SUM($C$2:$C$88)-C20)/(E20-1),2))</f>
        <v/>
      </c>
    </row>
    <row r="21">
      <c r="A21" s="6" t="inlineStr">
        <is>
          <t>XenoArtifactEffectCreationGasCarbonDioxide</t>
        </is>
      </c>
      <c r="B21" s="7" t="inlineStr">
        <is>
          <t>Creation Gas Carbon Dioxide</t>
        </is>
      </c>
      <c r="C21" s="8" t="n">
        <v>8</v>
      </c>
      <c r="D21" s="9">
        <f>IF(C21=0,"never",ROUND(SUM($C$2:$C$88)/C21,1))</f>
        <v/>
      </c>
      <c r="E21" s="10" t="n"/>
      <c r="F21" s="11">
        <f>IF(OR(E21="",E21&lt;=1),"",ROUND((SUM($C$2:$C$88)-C21)/(E21-1),2))</f>
        <v/>
      </c>
    </row>
    <row r="22">
      <c r="A22" s="6" t="inlineStr">
        <is>
          <t>XenoArtifactEffectCreationGasFrezon</t>
        </is>
      </c>
      <c r="B22" s="7" t="inlineStr">
        <is>
          <t>Creation Gas Frezon</t>
        </is>
      </c>
      <c r="C22" s="8" t="n">
        <v>8</v>
      </c>
      <c r="D22" s="9">
        <f>IF(C22=0,"never",ROUND(SUM($C$2:$C$88)/C22,1))</f>
        <v/>
      </c>
      <c r="E22" s="10" t="n"/>
      <c r="F22" s="11">
        <f>IF(OR(E22="",E22&lt;=1),"",ROUND((SUM($C$2:$C$88)-C22)/(E22-1),2))</f>
        <v/>
      </c>
    </row>
    <row r="23">
      <c r="A23" s="6" t="inlineStr">
        <is>
          <t>XenoArtifactEffectCreationGasNitrousOxide</t>
        </is>
      </c>
      <c r="B23" s="7" t="inlineStr">
        <is>
          <t>Creation Gas Nitrous Oxide</t>
        </is>
      </c>
      <c r="C23" s="8" t="n">
        <v>8</v>
      </c>
      <c r="D23" s="9">
        <f>IF(C23=0,"never",ROUND(SUM($C$2:$C$88)/C23,1))</f>
        <v/>
      </c>
      <c r="E23" s="10" t="n"/>
      <c r="F23" s="11">
        <f>IF(OR(E23="",E23&lt;=1),"",ROUND((SUM($C$2:$C$88)-C23)/(E23-1),2))</f>
        <v/>
      </c>
    </row>
    <row r="24">
      <c r="A24" s="6" t="inlineStr">
        <is>
          <t>XenoArtifactEffectCreationGasPlasma</t>
        </is>
      </c>
      <c r="B24" s="7" t="inlineStr">
        <is>
          <t>Creation Gas Plasma</t>
        </is>
      </c>
      <c r="C24" s="8" t="n">
        <v>8</v>
      </c>
      <c r="D24" s="9">
        <f>IF(C24=0,"never",ROUND(SUM($C$2:$C$88)/C24,1))</f>
        <v/>
      </c>
      <c r="E24" s="10" t="n"/>
      <c r="F24" s="11">
        <f>IF(OR(E24="",E24&lt;=1),"",ROUND((SUM($C$2:$C$88)-C24)/(E24-1),2))</f>
        <v/>
      </c>
    </row>
    <row r="25">
      <c r="A25" s="6" t="inlineStr">
        <is>
          <t>XenoArtifactEffectCreationGasTritium</t>
        </is>
      </c>
      <c r="B25" s="7" t="inlineStr">
        <is>
          <t>Creation Gas Tritium</t>
        </is>
      </c>
      <c r="C25" s="8" t="n">
        <v>8</v>
      </c>
      <c r="D25" s="9">
        <f>IF(C25=0,"never",ROUND(SUM($C$2:$C$88)/C25,1))</f>
        <v/>
      </c>
      <c r="E25" s="10" t="n"/>
      <c r="F25" s="11">
        <f>IF(OR(E25="",E25&lt;=1),"",ROUND((SUM($C$2:$C$88)-C25)/(E25-1),2))</f>
        <v/>
      </c>
    </row>
    <row r="26">
      <c r="A26" s="6" t="inlineStr">
        <is>
          <t>XenoArtifactEmp</t>
        </is>
      </c>
      <c r="B26" s="7" t="inlineStr">
        <is>
          <t>Emp</t>
        </is>
      </c>
      <c r="C26" s="8" t="n">
        <v>3</v>
      </c>
      <c r="D26" s="9">
        <f>IF(C26=0,"never",ROUND(SUM($C$2:$C$88)/C26,1))</f>
        <v/>
      </c>
      <c r="E26" s="10" t="n"/>
      <c r="F26" s="11">
        <f>IF(OR(E26="",E26&lt;=1),"",ROUND((SUM($C$2:$C$88)-C26)/(E26-1),2))</f>
        <v/>
      </c>
    </row>
    <row r="27">
      <c r="A27" s="6" t="inlineStr">
        <is>
          <t>XenoArtifactExplosionScary</t>
        </is>
      </c>
      <c r="B27" s="7" t="inlineStr">
        <is>
          <t>Explosion Scary</t>
        </is>
      </c>
      <c r="C27" s="8" t="n">
        <v>1</v>
      </c>
      <c r="D27" s="9">
        <f>IF(C27=0,"never",ROUND(SUM($C$2:$C$88)/C27,1))</f>
        <v/>
      </c>
      <c r="E27" s="10" t="n"/>
      <c r="F27" s="11">
        <f>IF(OR(E27="",E27&lt;=1),"",ROUND((SUM($C$2:$C$88)-C27)/(E27-1),2))</f>
        <v/>
      </c>
    </row>
    <row r="28">
      <c r="A28" s="6" t="inlineStr">
        <is>
          <t>XenoArtifactFaunaSpawn</t>
        </is>
      </c>
      <c r="B28" s="7" t="inlineStr">
        <is>
          <t>Fauna Spawn</t>
        </is>
      </c>
      <c r="C28" s="8" t="n">
        <v>8</v>
      </c>
      <c r="D28" s="9">
        <f>IF(C28=0,"never",ROUND(SUM($C$2:$C$88)/C28,1))</f>
        <v/>
      </c>
      <c r="E28" s="10" t="n"/>
      <c r="F28" s="11">
        <f>IF(OR(E28="",E28&lt;=1),"",ROUND((SUM($C$2:$C$88)-C28)/(E28-1),2))</f>
        <v/>
      </c>
    </row>
    <row r="29">
      <c r="A29" s="6" t="inlineStr">
        <is>
          <t>XenoArtifactFloraSpawn</t>
        </is>
      </c>
      <c r="B29" s="7" t="inlineStr">
        <is>
          <t>Flora Spawn</t>
        </is>
      </c>
      <c r="C29" s="8" t="n">
        <v>8</v>
      </c>
      <c r="D29" s="9">
        <f>IF(C29=0,"never",ROUND(SUM($C$2:$C$88)/C29,1))</f>
        <v/>
      </c>
      <c r="E29" s="10" t="n"/>
      <c r="F29" s="11">
        <f>IF(OR(E29="",E29&lt;=1),"",ROUND((SUM($C$2:$C$88)-C29)/(E29-1),2))</f>
        <v/>
      </c>
    </row>
    <row r="30">
      <c r="A30" s="6" t="inlineStr">
        <is>
          <t>XenoArtifactFoamDangerous</t>
        </is>
      </c>
      <c r="B30" s="7" t="inlineStr">
        <is>
          <t>Foam Dangerous</t>
        </is>
      </c>
      <c r="C30" s="8" t="n">
        <v>8</v>
      </c>
      <c r="D30" s="9">
        <f>IF(C30=0,"never",ROUND(SUM($C$2:$C$88)/C30,1))</f>
        <v/>
      </c>
      <c r="E30" s="10" t="n"/>
      <c r="F30" s="11">
        <f>IF(OR(E30="",E30&lt;=1),"",ROUND((SUM($C$2:$C$88)-C30)/(E30-1),2))</f>
        <v/>
      </c>
    </row>
    <row r="31">
      <c r="A31" s="6" t="inlineStr">
        <is>
          <t>XenoArtifactFoamGood</t>
        </is>
      </c>
      <c r="B31" s="7" t="inlineStr">
        <is>
          <t>Foam Good</t>
        </is>
      </c>
      <c r="C31" s="8" t="n">
        <v>8</v>
      </c>
      <c r="D31" s="9">
        <f>IF(C31=0,"never",ROUND(SUM($C$2:$C$88)/C31,1))</f>
        <v/>
      </c>
      <c r="E31" s="10" t="n"/>
      <c r="F31" s="11">
        <f>IF(OR(E31="",E31&lt;=1),"",ROUND((SUM($C$2:$C$88)-C31)/(E31-1),2))</f>
        <v/>
      </c>
    </row>
    <row r="32">
      <c r="A32" s="6" t="inlineStr">
        <is>
          <t>XenoArtifactFoamMild</t>
        </is>
      </c>
      <c r="B32" s="7" t="inlineStr">
        <is>
          <t>Foam Mild</t>
        </is>
      </c>
      <c r="C32" s="8" t="n">
        <v>10</v>
      </c>
      <c r="D32" s="9">
        <f>IF(C32=0,"never",ROUND(SUM($C$2:$C$88)/C32,1))</f>
        <v/>
      </c>
      <c r="E32" s="10" t="n"/>
      <c r="F32" s="11">
        <f>IF(OR(E32="",E32&lt;=1),"",ROUND((SUM($C$2:$C$88)-C32)/(E32-1),2))</f>
        <v/>
      </c>
    </row>
    <row r="33">
      <c r="A33" s="6" t="inlineStr">
        <is>
          <t>XenoArtifactEffectGoodFeeling</t>
        </is>
      </c>
      <c r="B33" s="7" t="inlineStr">
        <is>
          <t>Good Feeling</t>
        </is>
      </c>
      <c r="C33" s="8" t="n">
        <v>8</v>
      </c>
      <c r="D33" s="9">
        <f>IF(C33=0,"never",ROUND(SUM($C$2:$C$88)/C33,1))</f>
        <v/>
      </c>
      <c r="E33" s="10" t="n"/>
      <c r="F33" s="11">
        <f>IF(OR(E33="",E33&lt;=1),"",ROUND((SUM($C$2:$C$88)-C33)/(E33-1),2))</f>
        <v/>
      </c>
    </row>
    <row r="34">
      <c r="A34" s="6" t="inlineStr">
        <is>
          <t>XenoArtifactHealBrute</t>
        </is>
      </c>
      <c r="B34" s="7" t="inlineStr">
        <is>
          <t>Heal Brute</t>
        </is>
      </c>
      <c r="C34" s="8" t="n">
        <v>3</v>
      </c>
      <c r="D34" s="9">
        <f>IF(C34=0,"never",ROUND(SUM($C$2:$C$88)/C34,1))</f>
        <v/>
      </c>
      <c r="E34" s="10" t="n"/>
      <c r="F34" s="11">
        <f>IF(OR(E34="",E34&lt;=1),"",ROUND((SUM($C$2:$C$88)-C34)/(E34-1),2))</f>
        <v/>
      </c>
    </row>
    <row r="35">
      <c r="A35" s="6" t="inlineStr">
        <is>
          <t>XenoArtifactHealBurn</t>
        </is>
      </c>
      <c r="B35" s="7" t="inlineStr">
        <is>
          <t>Heal Burn</t>
        </is>
      </c>
      <c r="C35" s="8" t="n">
        <v>3</v>
      </c>
      <c r="D35" s="9">
        <f>IF(C35=0,"never",ROUND(SUM($C$2:$C$88)/C35,1))</f>
        <v/>
      </c>
      <c r="E35" s="10" t="n"/>
      <c r="F35" s="11">
        <f>IF(OR(E35="",E35&lt;=1),"",ROUND((SUM($C$2:$C$88)-C35)/(E35-1),2))</f>
        <v/>
      </c>
    </row>
    <row r="36">
      <c r="A36" s="6" t="inlineStr">
        <is>
          <t>XenoArtifactHealRare</t>
        </is>
      </c>
      <c r="B36" s="7" t="inlineStr">
        <is>
          <t>Heal Rare</t>
        </is>
      </c>
      <c r="C36" s="8" t="n">
        <v>3</v>
      </c>
      <c r="D36" s="9">
        <f>IF(C36=0,"never",ROUND(SUM($C$2:$C$88)/C36,1))</f>
        <v/>
      </c>
      <c r="E36" s="10" t="n"/>
      <c r="F36" s="11">
        <f>IF(OR(E36="",E36&lt;=1),"",ROUND((SUM($C$2:$C$88)-C36)/(E36-1),2))</f>
        <v/>
      </c>
    </row>
    <row r="37">
      <c r="A37" s="6" t="inlineStr">
        <is>
          <t>XenoArtifactHealAll</t>
        </is>
      </c>
      <c r="B37" s="7" t="inlineStr">
        <is>
          <t>Heal All</t>
        </is>
      </c>
      <c r="C37" s="8" t="n">
        <v>1</v>
      </c>
      <c r="D37" s="9">
        <f>IF(C37=0,"never",ROUND(SUM($C$2:$C$88)/C37,1))</f>
        <v/>
      </c>
      <c r="E37" s="10" t="n"/>
      <c r="F37" s="11">
        <f>IF(OR(E37="",E37&lt;=1),"",ROUND((SUM($C$2:$C$88)-C37)/(E37-1),2))</f>
        <v/>
      </c>
    </row>
    <row r="38">
      <c r="A38" s="6" t="inlineStr">
        <is>
          <t>XenoArtifactHeatWave</t>
        </is>
      </c>
      <c r="B38" s="7" t="inlineStr">
        <is>
          <t>Heat Wave</t>
        </is>
      </c>
      <c r="C38" s="8" t="n">
        <v>8</v>
      </c>
      <c r="D38" s="9">
        <f>IF(C38=0,"never",ROUND(SUM($C$2:$C$88)/C38,1))</f>
        <v/>
      </c>
      <c r="E38" s="10" t="n"/>
      <c r="F38" s="11">
        <f>IF(OR(E38="",E38&lt;=1),"",ROUND((SUM($C$2:$C$88)-C38)/(E38-1),2))</f>
        <v/>
      </c>
    </row>
    <row r="39">
      <c r="A39" s="6" t="inlineStr">
        <is>
          <t>XenoArtifactHostileFaunaSpawn</t>
        </is>
      </c>
      <c r="B39" s="7" t="inlineStr">
        <is>
          <t>Hostile Fauna Spawn</t>
        </is>
      </c>
      <c r="C39" s="8" t="n">
        <v>8</v>
      </c>
      <c r="D39" s="9">
        <f>IF(C39=0,"never",ROUND(SUM($C$2:$C$88)/C39,1))</f>
        <v/>
      </c>
      <c r="E39" s="10" t="n"/>
      <c r="F39" s="11">
        <f>IF(OR(E39="",E39&lt;=1),"",ROUND((SUM($C$2:$C$88)-C39)/(E39-1),2))</f>
        <v/>
      </c>
    </row>
    <row r="40">
      <c r="A40" s="6" t="inlineStr">
        <is>
          <t>XenoArtifactIgnite</t>
        </is>
      </c>
      <c r="B40" s="7" t="inlineStr">
        <is>
          <t>Ignite</t>
        </is>
      </c>
      <c r="C40" s="8" t="n">
        <v>8</v>
      </c>
      <c r="D40" s="9">
        <f>IF(C40=0,"never",ROUND(SUM($C$2:$C$88)/C40,1))</f>
        <v/>
      </c>
      <c r="E40" s="10" t="n"/>
      <c r="F40" s="11">
        <f>IF(OR(E40="",E40&lt;=1),"",ROUND((SUM($C$2:$C$88)-C40)/(E40-1),2))</f>
        <v/>
      </c>
    </row>
    <row r="41">
      <c r="A41" s="6" t="inlineStr">
        <is>
          <t>XenoArtifactEffectJunkSpawn</t>
        </is>
      </c>
      <c r="B41" s="7" t="inlineStr">
        <is>
          <t>Junk Spawn</t>
        </is>
      </c>
      <c r="C41" s="8" t="n">
        <v>3</v>
      </c>
      <c r="D41" s="9">
        <f>IF(C41=0,"never",ROUND(SUM($C$2:$C$88)/C41,1))</f>
        <v/>
      </c>
      <c r="E41" s="10" t="n"/>
      <c r="F41" s="11">
        <f>IF(OR(E41="",E41&lt;=1),"",ROUND((SUM($C$2:$C$88)-C41)/(E41-1),2))</f>
        <v/>
      </c>
    </row>
    <row r="42">
      <c r="A42" s="6" t="inlineStr">
        <is>
          <t>XenoArtifactKnock</t>
        </is>
      </c>
      <c r="B42" s="7" t="inlineStr">
        <is>
          <t>Knock</t>
        </is>
      </c>
      <c r="C42" s="8" t="n">
        <v>3</v>
      </c>
      <c r="D42" s="9">
        <f>IF(C42=0,"never",ROUND(SUM($C$2:$C$88)/C42,1))</f>
        <v/>
      </c>
      <c r="E42" s="10" t="n"/>
      <c r="F42" s="11">
        <f>IF(OR(E42="",E42&lt;=1),"",ROUND((SUM($C$2:$C$88)-C42)/(E42-1),2))</f>
        <v/>
      </c>
    </row>
    <row r="43">
      <c r="A43" s="6" t="inlineStr">
        <is>
          <t>XenoArtifactEffectLightFlicker</t>
        </is>
      </c>
      <c r="B43" s="7" t="inlineStr">
        <is>
          <t>Light Flicker</t>
        </is>
      </c>
      <c r="C43" s="8" t="n">
        <v>8</v>
      </c>
      <c r="D43" s="9">
        <f>IF(C43=0,"never",ROUND(SUM($C$2:$C$88)/C43,1))</f>
        <v/>
      </c>
      <c r="E43" s="10" t="n"/>
      <c r="F43" s="11">
        <f>IF(OR(E43="",E43&lt;=1),"",ROUND((SUM($C$2:$C$88)-C43)/(E43-1),2))</f>
        <v/>
      </c>
    </row>
    <row r="44">
      <c r="A44" s="6" t="inlineStr">
        <is>
          <t>XenoArtifactMagnet</t>
        </is>
      </c>
      <c r="B44" s="7" t="inlineStr">
        <is>
          <t>Magnet</t>
        </is>
      </c>
      <c r="C44" s="8" t="n">
        <v>8</v>
      </c>
      <c r="D44" s="9">
        <f>IF(C44=0,"never",ROUND(SUM($C$2:$C$88)/C44,1))</f>
        <v/>
      </c>
      <c r="E44" s="10" t="n"/>
      <c r="F44" s="11">
        <f>IF(OR(E44="",E44&lt;=1),"",ROUND((SUM($C$2:$C$88)-C44)/(E44-1),2))</f>
        <v/>
      </c>
    </row>
    <row r="45">
      <c r="A45" s="6" t="inlineStr">
        <is>
          <t>XenoArtifactMagnetNegative</t>
        </is>
      </c>
      <c r="B45" s="7" t="inlineStr">
        <is>
          <t>Magnet Negative</t>
        </is>
      </c>
      <c r="C45" s="8" t="n">
        <v>8</v>
      </c>
      <c r="D45" s="9">
        <f>IF(C45=0,"never",ROUND(SUM($C$2:$C$88)/C45,1))</f>
        <v/>
      </c>
      <c r="E45" s="10" t="n"/>
      <c r="F45" s="11">
        <f>IF(OR(E45="",E45&lt;=1),"",ROUND((SUM($C$2:$C$88)-C45)/(E45-1),2))</f>
        <v/>
      </c>
    </row>
    <row r="46">
      <c r="A46" s="6" t="inlineStr">
        <is>
          <t>XenoArtifactMonkeySpawn</t>
        </is>
      </c>
      <c r="B46" s="7" t="inlineStr">
        <is>
          <t>Monkey Spawn</t>
        </is>
      </c>
      <c r="C46" s="8" t="n">
        <v>8</v>
      </c>
      <c r="D46" s="9">
        <f>IF(C46=0,"never",ROUND(SUM($C$2:$C$88)/C46,1))</f>
        <v/>
      </c>
      <c r="E46" s="10" t="n"/>
      <c r="F46" s="11">
        <f>IF(OR(E46="",E46&lt;=1),"",ROUND((SUM($C$2:$C$88)-C46)/(E46-1),2))</f>
        <v/>
      </c>
    </row>
    <row r="47">
      <c r="A47" s="6" t="inlineStr">
        <is>
          <t>XenoArtifactPhasing</t>
        </is>
      </c>
      <c r="B47" s="7" t="inlineStr">
        <is>
          <t>Phasing</t>
        </is>
      </c>
      <c r="C47" s="8" t="n">
        <v>3</v>
      </c>
      <c r="D47" s="9">
        <f>IF(C47=0,"never",ROUND(SUM($C$2:$C$88)/C47,1))</f>
        <v/>
      </c>
      <c r="E47" s="10" t="n"/>
      <c r="F47" s="11">
        <f>IF(OR(E47="",E47&lt;=1),"",ROUND((SUM($C$2:$C$88)-C47)/(E47-1),2))</f>
        <v/>
      </c>
    </row>
    <row r="48">
      <c r="A48" s="6" t="inlineStr">
        <is>
          <t>XenoArtifactPolyLuminous</t>
        </is>
      </c>
      <c r="B48" s="7" t="inlineStr">
        <is>
          <t>Poly Luminous</t>
        </is>
      </c>
      <c r="C48" s="8" t="n">
        <v>8</v>
      </c>
      <c r="D48" s="9">
        <f>IF(C48=0,"never",ROUND(SUM($C$2:$C$88)/C48,1))</f>
        <v/>
      </c>
      <c r="E48" s="10" t="n"/>
      <c r="F48" s="11">
        <f>IF(OR(E48="",E48&lt;=1),"",ROUND((SUM($C$2:$C$88)-C48)/(E48-1),2))</f>
        <v/>
      </c>
    </row>
    <row r="49">
      <c r="A49" s="6" t="inlineStr">
        <is>
          <t>XenoArtifactPolyLizard</t>
        </is>
      </c>
      <c r="B49" s="7" t="inlineStr">
        <is>
          <t>Poly Lizard</t>
        </is>
      </c>
      <c r="C49" s="8" t="n">
        <v>8</v>
      </c>
      <c r="D49" s="9">
        <f>IF(C49=0,"never",ROUND(SUM($C$2:$C$88)/C49,1))</f>
        <v/>
      </c>
      <c r="E49" s="10" t="n"/>
      <c r="F49" s="11">
        <f>IF(OR(E49="",E49&lt;=1),"",ROUND((SUM($C$2:$C$88)-C49)/(E49-1),2))</f>
        <v/>
      </c>
    </row>
    <row r="50">
      <c r="A50" s="6" t="inlineStr">
        <is>
          <t>XenoArtifactPolyMonkey</t>
        </is>
      </c>
      <c r="B50" s="7" t="inlineStr">
        <is>
          <t>Poly Monkey</t>
        </is>
      </c>
      <c r="C50" s="8" t="n">
        <v>8</v>
      </c>
      <c r="D50" s="9">
        <f>IF(C50=0,"never",ROUND(SUM($C$2:$C$88)/C50,1))</f>
        <v/>
      </c>
      <c r="E50" s="10" t="n"/>
      <c r="F50" s="11">
        <f>IF(OR(E50="",E50&lt;=1),"",ROUND((SUM($C$2:$C$88)-C50)/(E50-1),2))</f>
        <v/>
      </c>
    </row>
    <row r="51">
      <c r="A51" s="6" t="inlineStr">
        <is>
          <t>XenoArtifactPortal</t>
        </is>
      </c>
      <c r="B51" s="7" t="inlineStr">
        <is>
          <t>Portal</t>
        </is>
      </c>
      <c r="C51" s="8" t="n">
        <v>1</v>
      </c>
      <c r="D51" s="9">
        <f>IF(C51=0,"never",ROUND(SUM($C$2:$C$88)/C51,1))</f>
        <v/>
      </c>
      <c r="E51" s="10" t="n"/>
      <c r="F51" s="11">
        <f>IF(OR(E51="",E51&lt;=1),"",ROUND((SUM($C$2:$C$88)-C51)/(E51-1),2))</f>
        <v/>
      </c>
    </row>
    <row r="52">
      <c r="A52" s="6" t="inlineStr">
        <is>
          <t>XenoArtifactPotassiumWave</t>
        </is>
      </c>
      <c r="B52" s="7" t="inlineStr">
        <is>
          <t>Potassium Wave</t>
        </is>
      </c>
      <c r="C52" s="8" t="n">
        <v>8</v>
      </c>
      <c r="D52" s="9">
        <f>IF(C52=0,"never",ROUND(SUM($C$2:$C$88)/C52,1))</f>
        <v/>
      </c>
      <c r="E52" s="10" t="n"/>
      <c r="F52" s="11">
        <f>IF(OR(E52="",E52&lt;=1),"",ROUND((SUM($C$2:$C$88)-C52)/(E52-1),2))</f>
        <v/>
      </c>
    </row>
    <row r="53">
      <c r="A53" s="6" t="inlineStr">
        <is>
          <t>XenoArtifactPuddleRare</t>
        </is>
      </c>
      <c r="B53" s="7" t="inlineStr">
        <is>
          <t>Puddle Rare</t>
        </is>
      </c>
      <c r="C53" s="8" t="n">
        <v>2</v>
      </c>
      <c r="D53" s="9">
        <f>IF(C53=0,"never",ROUND(SUM($C$2:$C$88)/C53,1))</f>
        <v/>
      </c>
      <c r="E53" s="10" t="n"/>
      <c r="F53" s="11">
        <f>IF(OR(E53="",E53&lt;=1),"",ROUND((SUM($C$2:$C$88)-C53)/(E53-1),2))</f>
        <v/>
      </c>
    </row>
    <row r="54">
      <c r="A54" s="6" t="inlineStr">
        <is>
          <t>XenoArtifactRadioactive</t>
        </is>
      </c>
      <c r="B54" s="7" t="inlineStr">
        <is>
          <t>Radioactive</t>
        </is>
      </c>
      <c r="C54" s="8" t="n">
        <v>10</v>
      </c>
      <c r="D54" s="9">
        <f>IF(C54=0,"never",ROUND(SUM($C$2:$C$88)/C54,1))</f>
        <v/>
      </c>
      <c r="E54" s="10" t="n"/>
      <c r="F54" s="11">
        <f>IF(OR(E54="",E54&lt;=1),"",ROUND((SUM($C$2:$C$88)-C54)/(E54-1),2))</f>
        <v/>
      </c>
    </row>
    <row r="55">
      <c r="A55" s="6" t="inlineStr">
        <is>
          <t>XenoArtifactRadioactiveStrong</t>
        </is>
      </c>
      <c r="B55" s="7" t="inlineStr">
        <is>
          <t>Radioactive Strong</t>
        </is>
      </c>
      <c r="C55" s="8" t="n">
        <v>8</v>
      </c>
      <c r="D55" s="9">
        <f>IF(C55=0,"never",ROUND(SUM($C$2:$C$88)/C55,1))</f>
        <v/>
      </c>
      <c r="E55" s="10" t="n"/>
      <c r="F55" s="11">
        <f>IF(OR(E55="",E55&lt;=1),"",ROUND((SUM($C$2:$C$88)-C55)/(E55-1),2))</f>
        <v/>
      </c>
    </row>
    <row r="56">
      <c r="A56" s="6" t="inlineStr">
        <is>
          <t>XenoArtifactRandomInstrumentSpawn</t>
        </is>
      </c>
      <c r="B56" s="7" t="inlineStr">
        <is>
          <t>Random Instrument Spawn</t>
        </is>
      </c>
      <c r="C56" s="8" t="n">
        <v>8</v>
      </c>
      <c r="D56" s="9">
        <f>IF(C56=0,"never",ROUND(SUM($C$2:$C$88)/C56,1))</f>
        <v/>
      </c>
      <c r="E56" s="10" t="n"/>
      <c r="F56" s="11">
        <f>IF(OR(E56="",E56&lt;=1),"",ROUND((SUM($C$2:$C$88)-C56)/(E56-1),2))</f>
        <v/>
      </c>
    </row>
    <row r="57">
      <c r="A57" s="6" t="inlineStr">
        <is>
          <t>XenoArtifactShatterWindows</t>
        </is>
      </c>
      <c r="B57" s="7" t="inlineStr">
        <is>
          <t>Shatter Windows</t>
        </is>
      </c>
      <c r="C57" s="8" t="n">
        <v>3</v>
      </c>
      <c r="D57" s="9">
        <f>IF(C57=0,"never",ROUND(SUM($C$2:$C$88)/C57,1))</f>
        <v/>
      </c>
      <c r="E57" s="10" t="n"/>
      <c r="F57" s="11">
        <f>IF(OR(E57="",E57&lt;=1),"",ROUND((SUM($C$2:$C$88)-C57)/(E57-1),2))</f>
        <v/>
      </c>
    </row>
    <row r="58">
      <c r="A58" s="6" t="inlineStr">
        <is>
          <t>XenoArtifactShuffle</t>
        </is>
      </c>
      <c r="B58" s="7" t="inlineStr">
        <is>
          <t>Shuffle</t>
        </is>
      </c>
      <c r="C58" s="8" t="n">
        <v>3</v>
      </c>
      <c r="D58" s="9">
        <f>IF(C58=0,"never",ROUND(SUM($C$2:$C$88)/C58,1))</f>
        <v/>
      </c>
      <c r="E58" s="10" t="n"/>
      <c r="F58" s="11">
        <f>IF(OR(E58="",E58&lt;=1),"",ROUND((SUM($C$2:$C$88)-C58)/(E58-1),2))</f>
        <v/>
      </c>
    </row>
    <row r="59">
      <c r="A59" s="6" t="inlineStr">
        <is>
          <t>XenoArtifactSolutionStorage</t>
        </is>
      </c>
      <c r="B59" s="7" t="inlineStr">
        <is>
          <t>Solution Storage</t>
        </is>
      </c>
      <c r="C59" s="8" t="n">
        <v>10</v>
      </c>
      <c r="D59" s="9">
        <f>IF(C59=0,"never",ROUND(SUM($C$2:$C$88)/C59,1))</f>
        <v/>
      </c>
      <c r="E59" s="10" t="n"/>
      <c r="F59" s="11">
        <f>IF(OR(E59="",E59&lt;=1),"",ROUND((SUM($C$2:$C$88)-C59)/(E59-1),2))</f>
        <v/>
      </c>
    </row>
    <row r="60">
      <c r="A60" s="6" t="inlineStr">
        <is>
          <t>XenoArtifactAngryCarpSpawn</t>
        </is>
      </c>
      <c r="B60" s="7" t="inlineStr">
        <is>
          <t>Angry Carp Spawn</t>
        </is>
      </c>
      <c r="C60" s="8" t="n">
        <v>8</v>
      </c>
      <c r="D60" s="9">
        <f>IF(C60=0,"never",ROUND(SUM($C$2:$C$88)/C60,1))</f>
        <v/>
      </c>
      <c r="E60" s="10" t="n"/>
      <c r="F60" s="11">
        <f>IF(OR(E60="",E60&lt;=1),"",ROUND((SUM($C$2:$C$88)-C60)/(E60-1),2))</f>
        <v/>
      </c>
    </row>
    <row r="61">
      <c r="A61" s="6" t="inlineStr">
        <is>
          <t>XenoArtifactMaterialSpawnGlassFew</t>
        </is>
      </c>
      <c r="B61" s="7" t="inlineStr">
        <is>
          <t>Material Spawn Glass Few</t>
        </is>
      </c>
      <c r="C61" s="8" t="n">
        <v>3</v>
      </c>
      <c r="D61" s="9">
        <f>IF(C61=0,"never",ROUND(SUM($C$2:$C$88)/C61,1))</f>
        <v/>
      </c>
      <c r="E61" s="10" t="n"/>
      <c r="F61" s="11">
        <f>IF(OR(E61="",E61&lt;=1),"",ROUND((SUM($C$2:$C$88)-C61)/(E61-1),2))</f>
        <v/>
      </c>
    </row>
    <row r="62">
      <c r="A62" s="6" t="inlineStr">
        <is>
          <t>XenoArtifactMaterialSpawnGlassMany</t>
        </is>
      </c>
      <c r="B62" s="7" t="inlineStr">
        <is>
          <t>Material Spawn Glass Many</t>
        </is>
      </c>
      <c r="C62" s="8" t="n">
        <v>3</v>
      </c>
      <c r="D62" s="9">
        <f>IF(C62=0,"never",ROUND(SUM($C$2:$C$88)/C62,1))</f>
        <v/>
      </c>
      <c r="E62" s="10" t="n"/>
      <c r="F62" s="11">
        <f>IF(OR(E62="",E62&lt;=1),"",ROUND((SUM($C$2:$C$88)-C62)/(E62-1),2))</f>
        <v/>
      </c>
    </row>
    <row r="63">
      <c r="A63" s="6" t="inlineStr">
        <is>
          <t>XenoArtifactMaterialSpawnGlassStack</t>
        </is>
      </c>
      <c r="B63" s="7" t="inlineStr">
        <is>
          <t>Material Spawn Glass Stack</t>
        </is>
      </c>
      <c r="C63" s="8" t="n">
        <v>1</v>
      </c>
      <c r="D63" s="9">
        <f>IF(C63=0,"never",ROUND(SUM($C$2:$C$88)/C63,1))</f>
        <v/>
      </c>
      <c r="E63" s="10" t="n"/>
      <c r="F63" s="11">
        <f>IF(OR(E63="",E63&lt;=1),"",ROUND((SUM($C$2:$C$88)-C63)/(E63-1),2))</f>
        <v/>
      </c>
    </row>
    <row r="64">
      <c r="A64" s="6" t="inlineStr">
        <is>
          <t>XenoArtifactMaterialSpawnSteelFew</t>
        </is>
      </c>
      <c r="B64" s="7" t="inlineStr">
        <is>
          <t>Material Spawn Steel Few</t>
        </is>
      </c>
      <c r="C64" s="8" t="n">
        <v>3</v>
      </c>
      <c r="D64" s="9">
        <f>IF(C64=0,"never",ROUND(SUM($C$2:$C$88)/C64,1))</f>
        <v/>
      </c>
      <c r="E64" s="10" t="n"/>
      <c r="F64" s="11">
        <f>IF(OR(E64="",E64&lt;=1),"",ROUND((SUM($C$2:$C$88)-C64)/(E64-1),2))</f>
        <v/>
      </c>
    </row>
    <row r="65">
      <c r="A65" s="6" t="inlineStr">
        <is>
          <t>XenoArtifactMaterialSpawnSteelMany</t>
        </is>
      </c>
      <c r="B65" s="7" t="inlineStr">
        <is>
          <t>Material Spawn Steel Many</t>
        </is>
      </c>
      <c r="C65" s="8" t="n">
        <v>3</v>
      </c>
      <c r="D65" s="9">
        <f>IF(C65=0,"never",ROUND(SUM($C$2:$C$88)/C65,1))</f>
        <v/>
      </c>
      <c r="E65" s="10" t="n"/>
      <c r="F65" s="11">
        <f>IF(OR(E65="",E65&lt;=1),"",ROUND((SUM($C$2:$C$88)-C65)/(E65-1),2))</f>
        <v/>
      </c>
    </row>
    <row r="66">
      <c r="A66" s="6" t="inlineStr">
        <is>
          <t>XenoArtifactMaterialSpawnSteelStack</t>
        </is>
      </c>
      <c r="B66" s="7" t="inlineStr">
        <is>
          <t>Material Spawn Steel Stack</t>
        </is>
      </c>
      <c r="C66" s="8" t="n">
        <v>1</v>
      </c>
      <c r="D66" s="9">
        <f>IF(C66=0,"never",ROUND(SUM($C$2:$C$88)/C66,1))</f>
        <v/>
      </c>
      <c r="E66" s="10" t="n"/>
      <c r="F66" s="11">
        <f>IF(OR(E66="",E66&lt;=1),"",ROUND((SUM($C$2:$C$88)-C66)/(E66-1),2))</f>
        <v/>
      </c>
    </row>
    <row r="67">
      <c r="A67" s="6" t="inlineStr">
        <is>
          <t>XenoArtifactMaterialSpawnPlasticFew</t>
        </is>
      </c>
      <c r="B67" s="7" t="inlineStr">
        <is>
          <t>Material Spawn Plastic Few</t>
        </is>
      </c>
      <c r="C67" s="8" t="n">
        <v>3</v>
      </c>
      <c r="D67" s="9">
        <f>IF(C67=0,"never",ROUND(SUM($C$2:$C$88)/C67,1))</f>
        <v/>
      </c>
      <c r="E67" s="10" t="n"/>
      <c r="F67" s="11">
        <f>IF(OR(E67="",E67&lt;=1),"",ROUND((SUM($C$2:$C$88)-C67)/(E67-1),2))</f>
        <v/>
      </c>
    </row>
    <row r="68">
      <c r="A68" s="6" t="inlineStr">
        <is>
          <t>XenoArtifactMaterialSpawnPlasticMany</t>
        </is>
      </c>
      <c r="B68" s="7" t="inlineStr">
        <is>
          <t>Material Spawn Plastic Many</t>
        </is>
      </c>
      <c r="C68" s="8" t="n">
        <v>3</v>
      </c>
      <c r="D68" s="9">
        <f>IF(C68=0,"never",ROUND(SUM($C$2:$C$88)/C68,1))</f>
        <v/>
      </c>
      <c r="E68" s="10" t="n"/>
      <c r="F68" s="11">
        <f>IF(OR(E68="",E68&lt;=1),"",ROUND((SUM($C$2:$C$88)-C68)/(E68-1),2))</f>
        <v/>
      </c>
    </row>
    <row r="69">
      <c r="A69" s="6" t="inlineStr">
        <is>
          <t>XenoArtifactMaterialSpawnPlasticStack</t>
        </is>
      </c>
      <c r="B69" s="7" t="inlineStr">
        <is>
          <t>Material Spawn Plastic Stack</t>
        </is>
      </c>
      <c r="C69" s="8" t="n">
        <v>1</v>
      </c>
      <c r="D69" s="9">
        <f>IF(C69=0,"never",ROUND(SUM($C$2:$C$88)/C69,1))</f>
        <v/>
      </c>
      <c r="E69" s="10" t="n"/>
      <c r="F69" s="11">
        <f>IF(OR(E69="",E69&lt;=1),"",ROUND((SUM($C$2:$C$88)-C69)/(E69-1),2))</f>
        <v/>
      </c>
    </row>
    <row r="70">
      <c r="A70" s="6" t="inlineStr">
        <is>
          <t>XenoArtifactRawMaterialSpawnBananiumFew</t>
        </is>
      </c>
      <c r="B70" s="7" t="inlineStr">
        <is>
          <t>Raw Material Spawn Bananium Few</t>
        </is>
      </c>
      <c r="C70" s="8" t="n">
        <v>3</v>
      </c>
      <c r="D70" s="9">
        <f>IF(C70=0,"never",ROUND(SUM($C$2:$C$88)/C70,1))</f>
        <v/>
      </c>
      <c r="E70" s="10" t="n"/>
      <c r="F70" s="11">
        <f>IF(OR(E70="",E70&lt;=1),"",ROUND((SUM($C$2:$C$88)-C70)/(E70-1),2))</f>
        <v/>
      </c>
    </row>
    <row r="71">
      <c r="A71" s="6" t="inlineStr">
        <is>
          <t>XenoArtifactRawMaterialSpawnBananiumMore</t>
        </is>
      </c>
      <c r="B71" s="7" t="inlineStr">
        <is>
          <t>Raw Material Spawn Bananium More</t>
        </is>
      </c>
      <c r="C71" s="8" t="n">
        <v>2</v>
      </c>
      <c r="D71" s="9">
        <f>IF(C71=0,"never",ROUND(SUM($C$2:$C$88)/C71,1))</f>
        <v/>
      </c>
      <c r="E71" s="10" t="n"/>
      <c r="F71" s="11">
        <f>IF(OR(E71="",E71&lt;=1),"",ROUND((SUM($C$2:$C$88)-C71)/(E71-1),2))</f>
        <v/>
      </c>
    </row>
    <row r="72">
      <c r="A72" s="6" t="inlineStr">
        <is>
          <t>XenoArtifactRawMaterialSpawnBananiumMany</t>
        </is>
      </c>
      <c r="B72" s="7" t="inlineStr">
        <is>
          <t>Raw Material Spawn Bananium Many</t>
        </is>
      </c>
      <c r="C72" s="8" t="n">
        <v>3</v>
      </c>
      <c r="D72" s="9">
        <f>IF(C72=0,"never",ROUND(SUM($C$2:$C$88)/C72,1))</f>
        <v/>
      </c>
      <c r="E72" s="10" t="n"/>
      <c r="F72" s="11">
        <f>IF(OR(E72="",E72&lt;=1),"",ROUND((SUM($C$2:$C$88)-C72)/(E72-1),2))</f>
        <v/>
      </c>
    </row>
    <row r="73">
      <c r="A73" s="6" t="inlineStr">
        <is>
          <t>XenoArtifactRawMaterialSpawnGoldFew</t>
        </is>
      </c>
      <c r="B73" s="7" t="inlineStr">
        <is>
          <t>Raw Material Spawn Gold Few</t>
        </is>
      </c>
      <c r="C73" s="8" t="n">
        <v>8</v>
      </c>
      <c r="D73" s="9">
        <f>IF(C73=0,"never",ROUND(SUM($C$2:$C$88)/C73,1))</f>
        <v/>
      </c>
      <c r="E73" s="10" t="n"/>
      <c r="F73" s="11">
        <f>IF(OR(E73="",E73&lt;=1),"",ROUND((SUM($C$2:$C$88)-C73)/(E73-1),2))</f>
        <v/>
      </c>
    </row>
    <row r="74">
      <c r="A74" s="6" t="inlineStr">
        <is>
          <t>XenoArtifactRawMaterialSpawnGoldMore</t>
        </is>
      </c>
      <c r="B74" s="7" t="inlineStr">
        <is>
          <t>Raw Material Spawn Gold More</t>
        </is>
      </c>
      <c r="C74" s="8" t="n">
        <v>10</v>
      </c>
      <c r="D74" s="9">
        <f>IF(C74=0,"never",ROUND(SUM($C$2:$C$88)/C74,1))</f>
        <v/>
      </c>
      <c r="E74" s="10" t="n"/>
      <c r="F74" s="11">
        <f>IF(OR(E74="",E74&lt;=1),"",ROUND((SUM($C$2:$C$88)-C74)/(E74-1),2))</f>
        <v/>
      </c>
    </row>
    <row r="75">
      <c r="A75" s="6" t="inlineStr">
        <is>
          <t>XenoArtifactRawMaterialSpawnGoldMany</t>
        </is>
      </c>
      <c r="B75" s="7" t="inlineStr">
        <is>
          <t>Raw Material Spawn Gold Many</t>
        </is>
      </c>
      <c r="C75" s="8" t="n">
        <v>1</v>
      </c>
      <c r="D75" s="9">
        <f>IF(C75=0,"never",ROUND(SUM($C$2:$C$88)/C75,1))</f>
        <v/>
      </c>
      <c r="E75" s="10" t="n"/>
      <c r="F75" s="11">
        <f>IF(OR(E75="",E75&lt;=1),"",ROUND((SUM($C$2:$C$88)-C75)/(E75-1),2))</f>
        <v/>
      </c>
    </row>
    <row r="76">
      <c r="A76" s="6" t="inlineStr">
        <is>
          <t>XenoArtifactRawMaterialSpawnPlasmaFew</t>
        </is>
      </c>
      <c r="B76" s="7" t="inlineStr">
        <is>
          <t>Raw Material Spawn Plasma Few</t>
        </is>
      </c>
      <c r="C76" s="8" t="n">
        <v>8</v>
      </c>
      <c r="D76" s="9">
        <f>IF(C76=0,"never",ROUND(SUM($C$2:$C$88)/C76,1))</f>
        <v/>
      </c>
      <c r="E76" s="10" t="n"/>
      <c r="F76" s="11">
        <f>IF(OR(E76="",E76&lt;=1),"",ROUND((SUM($C$2:$C$88)-C76)/(E76-1),2))</f>
        <v/>
      </c>
    </row>
    <row r="77">
      <c r="A77" s="6" t="inlineStr">
        <is>
          <t>XenoArtifactRawMaterialSpawnPlasmaMore</t>
        </is>
      </c>
      <c r="B77" s="7" t="inlineStr">
        <is>
          <t>Raw Material Spawn Plasma More</t>
        </is>
      </c>
      <c r="C77" s="8" t="n">
        <v>10</v>
      </c>
      <c r="D77" s="9">
        <f>IF(C77=0,"never",ROUND(SUM($C$2:$C$88)/C77,1))</f>
        <v/>
      </c>
      <c r="E77" s="10" t="n"/>
      <c r="F77" s="11">
        <f>IF(OR(E77="",E77&lt;=1),"",ROUND((SUM($C$2:$C$88)-C77)/(E77-1),2))</f>
        <v/>
      </c>
    </row>
    <row r="78">
      <c r="A78" s="6" t="inlineStr">
        <is>
          <t>XenoArtifactRawMaterialSpawnPlasmaMany</t>
        </is>
      </c>
      <c r="B78" s="7" t="inlineStr">
        <is>
          <t>Raw Material Spawn Plasma Many</t>
        </is>
      </c>
      <c r="C78" s="8" t="n">
        <v>1</v>
      </c>
      <c r="D78" s="9">
        <f>IF(C78=0,"never",ROUND(SUM($C$2:$C$88)/C78,1))</f>
        <v/>
      </c>
      <c r="E78" s="10" t="n"/>
      <c r="F78" s="11">
        <f>IF(OR(E78="",E78&lt;=1),"",ROUND((SUM($C$2:$C$88)-C78)/(E78-1),2))</f>
        <v/>
      </c>
    </row>
    <row r="79">
      <c r="A79" s="6" t="inlineStr">
        <is>
          <t>XenoArtifactRawMaterialSpawnSilverFew</t>
        </is>
      </c>
      <c r="B79" s="7" t="inlineStr">
        <is>
          <t>Raw Material Spawn Silver Few</t>
        </is>
      </c>
      <c r="C79" s="8" t="n">
        <v>8</v>
      </c>
      <c r="D79" s="9">
        <f>IF(C79=0,"never",ROUND(SUM($C$2:$C$88)/C79,1))</f>
        <v/>
      </c>
      <c r="E79" s="10" t="n"/>
      <c r="F79" s="11">
        <f>IF(OR(E79="",E79&lt;=1),"",ROUND((SUM($C$2:$C$88)-C79)/(E79-1),2))</f>
        <v/>
      </c>
    </row>
    <row r="80">
      <c r="A80" s="6" t="inlineStr">
        <is>
          <t>XenoArtifactRawMaterialSpawnSilverMore</t>
        </is>
      </c>
      <c r="B80" s="7" t="inlineStr">
        <is>
          <t>Raw Material Spawn Silver More</t>
        </is>
      </c>
      <c r="C80" s="8" t="n">
        <v>10</v>
      </c>
      <c r="D80" s="9">
        <f>IF(C80=0,"never",ROUND(SUM($C$2:$C$88)/C80,1))</f>
        <v/>
      </c>
      <c r="E80" s="10" t="n"/>
      <c r="F80" s="11">
        <f>IF(OR(E80="",E80&lt;=1),"",ROUND((SUM($C$2:$C$88)-C80)/(E80-1),2))</f>
        <v/>
      </c>
    </row>
    <row r="81">
      <c r="A81" s="6" t="inlineStr">
        <is>
          <t>XenoArtifactRawMaterialSpawnSilverMany</t>
        </is>
      </c>
      <c r="B81" s="7" t="inlineStr">
        <is>
          <t>Raw Material Spawn Silver Many</t>
        </is>
      </c>
      <c r="C81" s="8" t="n">
        <v>1</v>
      </c>
      <c r="D81" s="9">
        <f>IF(C81=0,"never",ROUND(SUM($C$2:$C$88)/C81,1))</f>
        <v/>
      </c>
      <c r="E81" s="10" t="n"/>
      <c r="F81" s="11">
        <f>IF(OR(E81="",E81&lt;=1),"",ROUND((SUM($C$2:$C$88)-C81)/(E81-1),2))</f>
        <v/>
      </c>
    </row>
    <row r="82">
      <c r="A82" s="6" t="inlineStr">
        <is>
          <t>XenoArtifactRawMaterialSpawnUraniumFew</t>
        </is>
      </c>
      <c r="B82" s="7" t="inlineStr">
        <is>
          <t>Raw Material Spawn Uranium Few</t>
        </is>
      </c>
      <c r="C82" s="8" t="n">
        <v>8</v>
      </c>
      <c r="D82" s="9">
        <f>IF(C82=0,"never",ROUND(SUM($C$2:$C$88)/C82,1))</f>
        <v/>
      </c>
      <c r="E82" s="10" t="n"/>
      <c r="F82" s="11">
        <f>IF(OR(E82="",E82&lt;=1),"",ROUND((SUM($C$2:$C$88)-C82)/(E82-1),2))</f>
        <v/>
      </c>
    </row>
    <row r="83">
      <c r="A83" s="6" t="inlineStr">
        <is>
          <t>XenoArtifactRawMaterialSpawnUraniumMore</t>
        </is>
      </c>
      <c r="B83" s="7" t="inlineStr">
        <is>
          <t>Raw Material Spawn Uranium More</t>
        </is>
      </c>
      <c r="C83" s="8" t="n">
        <v>10</v>
      </c>
      <c r="D83" s="9">
        <f>IF(C83=0,"never",ROUND(SUM($C$2:$C$88)/C83,1))</f>
        <v/>
      </c>
      <c r="E83" s="10" t="n"/>
      <c r="F83" s="11">
        <f>IF(OR(E83="",E83&lt;=1),"",ROUND((SUM($C$2:$C$88)-C83)/(E83-1),2))</f>
        <v/>
      </c>
    </row>
    <row r="84">
      <c r="A84" s="6" t="inlineStr">
        <is>
          <t>XenoArtifactRawMaterialSpawnUraniumMany</t>
        </is>
      </c>
      <c r="B84" s="7" t="inlineStr">
        <is>
          <t>Raw Material Spawn Uranium Many</t>
        </is>
      </c>
      <c r="C84" s="8" t="n">
        <v>1</v>
      </c>
      <c r="D84" s="9">
        <f>IF(C84=0,"never",ROUND(SUM($C$2:$C$88)/C84,1))</f>
        <v/>
      </c>
      <c r="E84" s="10" t="n"/>
      <c r="F84" s="11">
        <f>IF(OR(E84="",E84&lt;=1),"",ROUND((SUM($C$2:$C$88)-C84)/(E84-1),2))</f>
        <v/>
      </c>
    </row>
    <row r="85">
      <c r="A85" s="6" t="inlineStr">
        <is>
          <t>XenoArtifactStealth</t>
        </is>
      </c>
      <c r="B85" s="7" t="inlineStr">
        <is>
          <t>Stealth</t>
        </is>
      </c>
      <c r="C85" s="8" t="n">
        <v>3</v>
      </c>
      <c r="D85" s="9">
        <f>IF(C85=0,"never",ROUND(SUM($C$2:$C$88)/C85,1))</f>
        <v/>
      </c>
      <c r="E85" s="10" t="n"/>
      <c r="F85" s="11">
        <f>IF(OR(E85="",E85&lt;=1),"",ROUND((SUM($C$2:$C$88)-C85)/(E85-1),2))</f>
        <v/>
      </c>
    </row>
    <row r="86">
      <c r="A86" s="6" t="inlineStr">
        <is>
          <t>XenoArtifactTeleport</t>
        </is>
      </c>
      <c r="B86" s="7" t="inlineStr">
        <is>
          <t>Teleport</t>
        </is>
      </c>
      <c r="C86" s="8" t="n">
        <v>3</v>
      </c>
      <c r="D86" s="9">
        <f>IF(C86=0,"never",ROUND(SUM($C$2:$C$88)/C86,1))</f>
        <v/>
      </c>
      <c r="E86" s="10" t="n"/>
      <c r="F86" s="11">
        <f>IF(OR(E86="",E86&lt;=1),"",ROUND((SUM($C$2:$C$88)-C86)/(E86-1),2))</f>
        <v/>
      </c>
    </row>
    <row r="87">
      <c r="A87" s="6" t="inlineStr">
        <is>
          <t>XenoArtifactThrowThingsAround</t>
        </is>
      </c>
      <c r="B87" s="7" t="inlineStr">
        <is>
          <t>Throw Things Around</t>
        </is>
      </c>
      <c r="C87" s="8" t="n">
        <v>3</v>
      </c>
      <c r="D87" s="9">
        <f>IF(C87=0,"never",ROUND(SUM($C$2:$C$88)/C87,1))</f>
        <v/>
      </c>
      <c r="E87" s="10" t="n"/>
      <c r="F87" s="11">
        <f>IF(OR(E87="",E87&lt;=1),"",ROUND((SUM($C$2:$C$88)-C87)/(E87-1),2))</f>
        <v/>
      </c>
    </row>
    <row r="88">
      <c r="A88" s="6" t="inlineStr">
        <is>
          <t>XenoArtifactWandering</t>
        </is>
      </c>
      <c r="B88" s="7" t="inlineStr">
        <is>
          <t>Wandering</t>
        </is>
      </c>
      <c r="C88" s="8" t="n">
        <v>8</v>
      </c>
      <c r="D88" s="9">
        <f>IF(C88=0,"never",ROUND(SUM($C$2:$C$88)/C88,1))</f>
        <v/>
      </c>
      <c r="E88" s="10" t="n"/>
      <c r="F88" s="11">
        <f>IF(OR(E88="",E88&lt;=1),"",ROUND((SUM($C$2:$C$88)-C88)/(E88-1),2))</f>
        <v/>
      </c>
    </row>
    <row r="89">
      <c r="A89" s="12" t="n"/>
      <c r="B89" s="13" t="inlineStr">
        <is>
          <t>TOTAL WEIGHT</t>
        </is>
      </c>
      <c r="C89" s="14">
        <f>SUM($C$2:$C$88)</f>
        <v/>
      </c>
      <c r="D89" s="12" t="n"/>
      <c r="E89" s="12" t="n"/>
      <c r="F89" s="1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1" customWidth="1" min="3" max="3"/>
    <col width="15" customWidth="1" min="4" max="4"/>
    <col width="14" customWidth="1" min="5" max="5"/>
    <col width="16" customWidth="1" min="6" max="6"/>
  </cols>
  <sheetData>
    <row r="1" ht="30" customHeight="1">
      <c r="A1" s="5" t="inlineStr">
        <is>
          <t>ID (do not edit)</t>
        </is>
      </c>
      <c r="B1" s="5" t="inlineStr">
        <is>
          <t>Description</t>
        </is>
      </c>
      <c r="C1" s="5" t="inlineStr">
        <is>
          <t>Weight</t>
        </is>
      </c>
      <c r="D1" s="5" t="inlineStr">
        <is>
          <t>Appears ~1 in X</t>
        </is>
      </c>
      <c r="E1" s="5" t="inlineStr">
        <is>
          <t>Target: 1 in X</t>
        </is>
      </c>
      <c r="F1" s="5" t="inlineStr">
        <is>
          <t>Suggested weight</t>
        </is>
      </c>
    </row>
    <row r="2">
      <c r="A2" s="6" t="inlineStr">
        <is>
          <t>XenoArtifactEffectLaughingFit</t>
        </is>
      </c>
      <c r="B2" s="7" t="inlineStr">
        <is>
          <t>Laughing Fit</t>
        </is>
      </c>
      <c r="C2" s="8" t="n">
        <v>4</v>
      </c>
      <c r="D2" s="9">
        <f>IF(C2=0,"never",ROUND(SUM($C$2:$C$88)/C2,1))</f>
        <v/>
      </c>
      <c r="E2" s="10" t="n"/>
      <c r="F2" s="11">
        <f>IF(OR(E2="",E2&lt;=1),"",ROUND((SUM($C$2:$C$88)-C2)/(E2-1),2))</f>
        <v/>
      </c>
    </row>
    <row r="3">
      <c r="A3" s="6" t="inlineStr">
        <is>
          <t>XenoArtifactEffectSighingFit</t>
        </is>
      </c>
      <c r="B3" s="7" t="inlineStr">
        <is>
          <t>Sighing Fit</t>
        </is>
      </c>
      <c r="C3" s="8" t="n">
        <v>4</v>
      </c>
      <c r="D3" s="9">
        <f>IF(C3=0,"never",ROUND(SUM($C$2:$C$88)/C3,1))</f>
        <v/>
      </c>
      <c r="E3" s="10" t="n"/>
      <c r="F3" s="11">
        <f>IF(OR(E3="",E3&lt;=1),"",ROUND((SUM($C$2:$C$88)-C3)/(E3-1),2))</f>
        <v/>
      </c>
    </row>
    <row r="4">
      <c r="A4" s="6" t="inlineStr">
        <is>
          <t>XenoArtifactEffectSneezingFit</t>
        </is>
      </c>
      <c r="B4" s="7" t="inlineStr">
        <is>
          <t>Sneezing Fit</t>
        </is>
      </c>
      <c r="C4" s="8" t="n">
        <v>4</v>
      </c>
      <c r="D4" s="9">
        <f>IF(C4=0,"never",ROUND(SUM($C$2:$C$88)/C4,1))</f>
        <v/>
      </c>
      <c r="E4" s="10" t="n"/>
      <c r="F4" s="11">
        <f>IF(OR(E4="",E4&lt;=1),"",ROUND((SUM($C$2:$C$88)-C4)/(E4-1),2))</f>
        <v/>
      </c>
    </row>
    <row r="5">
      <c r="A5" s="6" t="inlineStr">
        <is>
          <t>XenoArtifactEffectCoughingFit</t>
        </is>
      </c>
      <c r="B5" s="7" t="inlineStr">
        <is>
          <t>Coughing Fit</t>
        </is>
      </c>
      <c r="C5" s="8" t="n">
        <v>4</v>
      </c>
      <c r="D5" s="9">
        <f>IF(C5=0,"never",ROUND(SUM($C$2:$C$88)/C5,1))</f>
        <v/>
      </c>
      <c r="E5" s="10" t="n"/>
      <c r="F5" s="11">
        <f>IF(OR(E5="",E5&lt;=1),"",ROUND((SUM($C$2:$C$88)-C5)/(E5-1),2))</f>
        <v/>
      </c>
    </row>
    <row r="6">
      <c r="A6" s="6" t="inlineStr">
        <is>
          <t>XenoArtifactEffectWhistlingFit</t>
        </is>
      </c>
      <c r="B6" s="7" t="inlineStr">
        <is>
          <t>Whistling Fit</t>
        </is>
      </c>
      <c r="C6" s="8" t="n">
        <v>4</v>
      </c>
      <c r="D6" s="9">
        <f>IF(C6=0,"never",ROUND(SUM($C$2:$C$88)/C6,1))</f>
        <v/>
      </c>
      <c r="E6" s="10" t="n"/>
      <c r="F6" s="11">
        <f>IF(OR(E6="",E6&lt;=1),"",ROUND((SUM($C$2:$C$88)-C6)/(E6-1),2))</f>
        <v/>
      </c>
    </row>
    <row r="7">
      <c r="A7" s="6" t="inlineStr">
        <is>
          <t>XenoArtifactEffectCryingFit</t>
        </is>
      </c>
      <c r="B7" s="7" t="inlineStr">
        <is>
          <t>Crying Fit</t>
        </is>
      </c>
      <c r="C7" s="8" t="n">
        <v>4</v>
      </c>
      <c r="D7" s="9">
        <f>IF(C7=0,"never",ROUND(SUM($C$2:$C$88)/C7,1))</f>
        <v/>
      </c>
      <c r="E7" s="10" t="n"/>
      <c r="F7" s="11">
        <f>IF(OR(E7="",E7&lt;=1),"",ROUND((SUM($C$2:$C$88)-C7)/(E7-1),2))</f>
        <v/>
      </c>
    </row>
    <row r="8">
      <c r="A8" s="6" t="inlineStr">
        <is>
          <t>XenoArtifactEffectYawningFit</t>
        </is>
      </c>
      <c r="B8" s="7" t="inlineStr">
        <is>
          <t>Yawning Fit</t>
        </is>
      </c>
      <c r="C8" s="8" t="n">
        <v>4</v>
      </c>
      <c r="D8" s="9">
        <f>IF(C8=0,"never",ROUND(SUM($C$2:$C$88)/C8,1))</f>
        <v/>
      </c>
      <c r="E8" s="10" t="n"/>
      <c r="F8" s="11">
        <f>IF(OR(E8="",E8&lt;=1),"",ROUND((SUM($C$2:$C$88)-C8)/(E8-1),2))</f>
        <v/>
      </c>
    </row>
    <row r="9">
      <c r="A9" s="6" t="inlineStr">
        <is>
          <t>XenoArtifactEffectScreamingFit</t>
        </is>
      </c>
      <c r="B9" s="7" t="inlineStr">
        <is>
          <t>Screaming Fit</t>
        </is>
      </c>
      <c r="C9" s="8" t="n">
        <v>4</v>
      </c>
      <c r="D9" s="9">
        <f>IF(C9=0,"never",ROUND(SUM($C$2:$C$88)/C9,1))</f>
        <v/>
      </c>
      <c r="E9" s="10" t="n"/>
      <c r="F9" s="11">
        <f>IF(OR(E9="",E9&lt;=1),"",ROUND((SUM($C$2:$C$88)-C9)/(E9-1),2))</f>
        <v/>
      </c>
    </row>
    <row r="10">
      <c r="A10" s="6" t="inlineStr">
        <is>
          <t>XenoArtifactAnomalySpawn</t>
        </is>
      </c>
      <c r="B10" s="7" t="inlineStr">
        <is>
          <t>Anomaly Spawn</t>
        </is>
      </c>
      <c r="C10" s="8" t="n">
        <v>3</v>
      </c>
      <c r="D10" s="9">
        <f>IF(C10=0,"never",ROUND(SUM($C$2:$C$88)/C10,1))</f>
        <v/>
      </c>
      <c r="E10" s="10" t="n"/>
      <c r="F10" s="11">
        <f>IF(OR(E10="",E10&lt;=1),"",ROUND((SUM($C$2:$C$88)-C10)/(E10-1),2))</f>
        <v/>
      </c>
    </row>
    <row r="11">
      <c r="A11" s="6" t="inlineStr">
        <is>
          <t>XenoArtifactArtifactSpawn</t>
        </is>
      </c>
      <c r="B11" s="7" t="inlineStr">
        <is>
          <t>Artifact Spawn</t>
        </is>
      </c>
      <c r="C11" s="8" t="n">
        <v>3</v>
      </c>
      <c r="D11" s="9">
        <f>IF(C11=0,"never",ROUND(SUM($C$2:$C$88)/C11,1))</f>
        <v/>
      </c>
      <c r="E11" s="10" t="n"/>
      <c r="F11" s="11">
        <f>IF(OR(E11="",E11&lt;=1),"",ROUND((SUM($C$2:$C$88)-C11)/(E11-1),2))</f>
        <v/>
      </c>
    </row>
    <row r="12">
      <c r="A12" s="6" t="inlineStr">
        <is>
          <t>XenoArtifactEffectBadFeeling</t>
        </is>
      </c>
      <c r="B12" s="7" t="inlineStr">
        <is>
          <t>Bad Feeling</t>
        </is>
      </c>
      <c r="C12" s="8" t="n">
        <v>1</v>
      </c>
      <c r="D12" s="9">
        <f>IF(C12=0,"never",ROUND(SUM($C$2:$C$88)/C12,1))</f>
        <v/>
      </c>
      <c r="E12" s="10" t="n"/>
      <c r="F12" s="11">
        <f>IF(OR(E12="",E12&lt;=1),"",ROUND((SUM($C$2:$C$88)-C12)/(E12-1),2))</f>
        <v/>
      </c>
    </row>
    <row r="13">
      <c r="A13" s="6" t="inlineStr">
        <is>
          <t>XenoArtifactBoom</t>
        </is>
      </c>
      <c r="B13" s="7" t="inlineStr">
        <is>
          <t>Boom</t>
        </is>
      </c>
      <c r="C13" s="8" t="n">
        <v>3</v>
      </c>
      <c r="D13" s="9">
        <f>IF(C13=0,"never",ROUND(SUM($C$2:$C$88)/C13,1))</f>
        <v/>
      </c>
      <c r="E13" s="10" t="n"/>
      <c r="F13" s="11">
        <f>IF(OR(E13="",E13&lt;=1),"",ROUND((SUM($C$2:$C$88)-C13)/(E13-1),2))</f>
        <v/>
      </c>
    </row>
    <row r="14">
      <c r="A14" s="6" t="inlineStr">
        <is>
          <t>XenoArtifactCashSpawn</t>
        </is>
      </c>
      <c r="B14" s="7" t="inlineStr">
        <is>
          <t>Cash Spawn</t>
        </is>
      </c>
      <c r="C14" s="8" t="n">
        <v>3</v>
      </c>
      <c r="D14" s="9">
        <f>IF(C14=0,"never",ROUND(SUM($C$2:$C$88)/C14,1))</f>
        <v/>
      </c>
      <c r="E14" s="10" t="n"/>
      <c r="F14" s="11">
        <f>IF(OR(E14="",E14&lt;=1),"",ROUND((SUM($C$2:$C$88)-C14)/(E14-1),2))</f>
        <v/>
      </c>
    </row>
    <row r="15">
      <c r="A15" s="6" t="inlineStr">
        <is>
          <t>XenoArtifactOldCashSpawn</t>
        </is>
      </c>
      <c r="B15" s="7" t="inlineStr">
        <is>
          <t>Old Cash Spawn</t>
        </is>
      </c>
      <c r="C15" s="8" t="n">
        <v>0</v>
      </c>
      <c r="D15" s="9">
        <f>IF(C15=0,"never",ROUND(SUM($C$2:$C$88)/C15,1))</f>
        <v/>
      </c>
      <c r="E15" s="10" t="n"/>
      <c r="F15" s="11">
        <f>IF(OR(E15="",E15&lt;=1),"",ROUND((SUM($C$2:$C$88)-C15)/(E15-1),2))</f>
        <v/>
      </c>
    </row>
    <row r="16">
      <c r="A16" s="6" t="inlineStr">
        <is>
          <t>XenoArtifactChargeBatteryLow</t>
        </is>
      </c>
      <c r="B16" s="7" t="inlineStr">
        <is>
          <t>Charge Battery Low</t>
        </is>
      </c>
      <c r="C16" s="8" t="n">
        <v>0</v>
      </c>
      <c r="D16" s="9">
        <f>IF(C16=0,"never",ROUND(SUM($C$2:$C$88)/C16,1))</f>
        <v/>
      </c>
      <c r="E16" s="10" t="n"/>
      <c r="F16" s="11">
        <f>IF(OR(E16="",E16&lt;=1),"",ROUND((SUM($C$2:$C$88)-C16)/(E16-1),2))</f>
        <v/>
      </c>
    </row>
    <row r="17">
      <c r="A17" s="6" t="inlineStr">
        <is>
          <t>XenoArtifactChargeBattery</t>
        </is>
      </c>
      <c r="B17" s="7" t="inlineStr">
        <is>
          <t>Charge Battery</t>
        </is>
      </c>
      <c r="C17" s="8" t="n">
        <v>10</v>
      </c>
      <c r="D17" s="9">
        <f>IF(C17=0,"never",ROUND(SUM($C$2:$C$88)/C17,1))</f>
        <v/>
      </c>
      <c r="E17" s="10" t="n"/>
      <c r="F17" s="11">
        <f>IF(OR(E17="",E17&lt;=1),"",ROUND((SUM($C$2:$C$88)-C17)/(E17-1),2))</f>
        <v/>
      </c>
    </row>
    <row r="18">
      <c r="A18" s="6" t="inlineStr">
        <is>
          <t>XenoArtifactChemicalPuddle</t>
        </is>
      </c>
      <c r="B18" s="7" t="inlineStr">
        <is>
          <t>Chemical Puddle</t>
        </is>
      </c>
      <c r="C18" s="8" t="n">
        <v>10</v>
      </c>
      <c r="D18" s="9">
        <f>IF(C18=0,"never",ROUND(SUM($C$2:$C$88)/C18,1))</f>
        <v/>
      </c>
      <c r="E18" s="10" t="n"/>
      <c r="F18" s="11">
        <f>IF(OR(E18="",E18&lt;=1),"",ROUND((SUM($C$2:$C$88)-C18)/(E18-1),2))</f>
        <v/>
      </c>
    </row>
    <row r="19">
      <c r="A19" s="6" t="inlineStr">
        <is>
          <t>XenoArtifactColdWave</t>
        </is>
      </c>
      <c r="B19" s="7" t="inlineStr">
        <is>
          <t>Cold Wave</t>
        </is>
      </c>
      <c r="C19" s="8" t="n">
        <v>8</v>
      </c>
      <c r="D19" s="9">
        <f>IF(C19=0,"never",ROUND(SUM($C$2:$C$88)/C19,1))</f>
        <v/>
      </c>
      <c r="E19" s="10" t="n"/>
      <c r="F19" s="11">
        <f>IF(OR(E19="",E19&lt;=1),"",ROUND((SUM($C$2:$C$88)-C19)/(E19-1),2))</f>
        <v/>
      </c>
    </row>
    <row r="20">
      <c r="A20" s="6" t="inlineStr">
        <is>
          <t>XenoArtifactEffectCreationGasAmmonia</t>
        </is>
      </c>
      <c r="B20" s="7" t="inlineStr">
        <is>
          <t>Creation Gas Ammonia</t>
        </is>
      </c>
      <c r="C20" s="8" t="n">
        <v>3</v>
      </c>
      <c r="D20" s="9">
        <f>IF(C20=0,"never",ROUND(SUM($C$2:$C$88)/C20,1))</f>
        <v/>
      </c>
      <c r="E20" s="10" t="n"/>
      <c r="F20" s="11">
        <f>IF(OR(E20="",E20&lt;=1),"",ROUND((SUM($C$2:$C$88)-C20)/(E20-1),2))</f>
        <v/>
      </c>
    </row>
    <row r="21">
      <c r="A21" s="6" t="inlineStr">
        <is>
          <t>XenoArtifactEffectCreationGasCarbonDioxide</t>
        </is>
      </c>
      <c r="B21" s="7" t="inlineStr">
        <is>
          <t>Creation Gas Carbon Dioxide</t>
        </is>
      </c>
      <c r="C21" s="8" t="n">
        <v>3</v>
      </c>
      <c r="D21" s="9">
        <f>IF(C21=0,"never",ROUND(SUM($C$2:$C$88)/C21,1))</f>
        <v/>
      </c>
      <c r="E21" s="10" t="n"/>
      <c r="F21" s="11">
        <f>IF(OR(E21="",E21&lt;=1),"",ROUND((SUM($C$2:$C$88)-C21)/(E21-1),2))</f>
        <v/>
      </c>
    </row>
    <row r="22">
      <c r="A22" s="6" t="inlineStr">
        <is>
          <t>XenoArtifactEffectCreationGasFrezon</t>
        </is>
      </c>
      <c r="B22" s="7" t="inlineStr">
        <is>
          <t>Creation Gas Frezon</t>
        </is>
      </c>
      <c r="C22" s="8" t="n">
        <v>10</v>
      </c>
      <c r="D22" s="9">
        <f>IF(C22=0,"never",ROUND(SUM($C$2:$C$88)/C22,1))</f>
        <v/>
      </c>
      <c r="E22" s="10" t="n"/>
      <c r="F22" s="11">
        <f>IF(OR(E22="",E22&lt;=1),"",ROUND((SUM($C$2:$C$88)-C22)/(E22-1),2))</f>
        <v/>
      </c>
    </row>
    <row r="23">
      <c r="A23" s="6" t="inlineStr">
        <is>
          <t>XenoArtifactEffectCreationGasNitrousOxide</t>
        </is>
      </c>
      <c r="B23" s="7" t="inlineStr">
        <is>
          <t>Creation Gas Nitrous Oxide</t>
        </is>
      </c>
      <c r="C23" s="8" t="n">
        <v>3</v>
      </c>
      <c r="D23" s="9">
        <f>IF(C23=0,"never",ROUND(SUM($C$2:$C$88)/C23,1))</f>
        <v/>
      </c>
      <c r="E23" s="10" t="n"/>
      <c r="F23" s="11">
        <f>IF(OR(E23="",E23&lt;=1),"",ROUND((SUM($C$2:$C$88)-C23)/(E23-1),2))</f>
        <v/>
      </c>
    </row>
    <row r="24">
      <c r="A24" s="6" t="inlineStr">
        <is>
          <t>XenoArtifactEffectCreationGasPlasma</t>
        </is>
      </c>
      <c r="B24" s="7" t="inlineStr">
        <is>
          <t>Creation Gas Plasma</t>
        </is>
      </c>
      <c r="C24" s="8" t="n">
        <v>10</v>
      </c>
      <c r="D24" s="9">
        <f>IF(C24=0,"never",ROUND(SUM($C$2:$C$88)/C24,1))</f>
        <v/>
      </c>
      <c r="E24" s="10" t="n"/>
      <c r="F24" s="11">
        <f>IF(OR(E24="",E24&lt;=1),"",ROUND((SUM($C$2:$C$88)-C24)/(E24-1),2))</f>
        <v/>
      </c>
    </row>
    <row r="25">
      <c r="A25" s="6" t="inlineStr">
        <is>
          <t>XenoArtifactEffectCreationGasTritium</t>
        </is>
      </c>
      <c r="B25" s="7" t="inlineStr">
        <is>
          <t>Creation Gas Tritium</t>
        </is>
      </c>
      <c r="C25" s="8" t="n">
        <v>10</v>
      </c>
      <c r="D25" s="9">
        <f>IF(C25=0,"never",ROUND(SUM($C$2:$C$88)/C25,1))</f>
        <v/>
      </c>
      <c r="E25" s="10" t="n"/>
      <c r="F25" s="11">
        <f>IF(OR(E25="",E25&lt;=1),"",ROUND((SUM($C$2:$C$88)-C25)/(E25-1),2))</f>
        <v/>
      </c>
    </row>
    <row r="26">
      <c r="A26" s="6" t="inlineStr">
        <is>
          <t>XenoArtifactEmp</t>
        </is>
      </c>
      <c r="B26" s="7" t="inlineStr">
        <is>
          <t>Emp</t>
        </is>
      </c>
      <c r="C26" s="8" t="n">
        <v>8</v>
      </c>
      <c r="D26" s="9">
        <f>IF(C26=0,"never",ROUND(SUM($C$2:$C$88)/C26,1))</f>
        <v/>
      </c>
      <c r="E26" s="10" t="n"/>
      <c r="F26" s="11">
        <f>IF(OR(E26="",E26&lt;=1),"",ROUND((SUM($C$2:$C$88)-C26)/(E26-1),2))</f>
        <v/>
      </c>
    </row>
    <row r="27">
      <c r="A27" s="6" t="inlineStr">
        <is>
          <t>XenoArtifactExplosionScary</t>
        </is>
      </c>
      <c r="B27" s="7" t="inlineStr">
        <is>
          <t>Explosion Scary</t>
        </is>
      </c>
      <c r="C27" s="8" t="n">
        <v>1</v>
      </c>
      <c r="D27" s="9">
        <f>IF(C27=0,"never",ROUND(SUM($C$2:$C$88)/C27,1))</f>
        <v/>
      </c>
      <c r="E27" s="10" t="n"/>
      <c r="F27" s="11">
        <f>IF(OR(E27="",E27&lt;=1),"",ROUND((SUM($C$2:$C$88)-C27)/(E27-1),2))</f>
        <v/>
      </c>
    </row>
    <row r="28">
      <c r="A28" s="6" t="inlineStr">
        <is>
          <t>XenoArtifactFaunaSpawn</t>
        </is>
      </c>
      <c r="B28" s="7" t="inlineStr">
        <is>
          <t>Fauna Spawn</t>
        </is>
      </c>
      <c r="C28" s="8" t="n">
        <v>1</v>
      </c>
      <c r="D28" s="9">
        <f>IF(C28=0,"never",ROUND(SUM($C$2:$C$88)/C28,1))</f>
        <v/>
      </c>
      <c r="E28" s="10" t="n"/>
      <c r="F28" s="11">
        <f>IF(OR(E28="",E28&lt;=1),"",ROUND((SUM($C$2:$C$88)-C28)/(E28-1),2))</f>
        <v/>
      </c>
    </row>
    <row r="29">
      <c r="A29" s="6" t="inlineStr">
        <is>
          <t>XenoArtifactFloraSpawn</t>
        </is>
      </c>
      <c r="B29" s="7" t="inlineStr">
        <is>
          <t>Flora Spawn</t>
        </is>
      </c>
      <c r="C29" s="8" t="n">
        <v>1</v>
      </c>
      <c r="D29" s="9">
        <f>IF(C29=0,"never",ROUND(SUM($C$2:$C$88)/C29,1))</f>
        <v/>
      </c>
      <c r="E29" s="10" t="n"/>
      <c r="F29" s="11">
        <f>IF(OR(E29="",E29&lt;=1),"",ROUND((SUM($C$2:$C$88)-C29)/(E29-1),2))</f>
        <v/>
      </c>
    </row>
    <row r="30">
      <c r="A30" s="6" t="inlineStr">
        <is>
          <t>XenoArtifactFoamDangerous</t>
        </is>
      </c>
      <c r="B30" s="7" t="inlineStr">
        <is>
          <t>Foam Dangerous</t>
        </is>
      </c>
      <c r="C30" s="8" t="n">
        <v>8</v>
      </c>
      <c r="D30" s="9">
        <f>IF(C30=0,"never",ROUND(SUM($C$2:$C$88)/C30,1))</f>
        <v/>
      </c>
      <c r="E30" s="10" t="n"/>
      <c r="F30" s="11">
        <f>IF(OR(E30="",E30&lt;=1),"",ROUND((SUM($C$2:$C$88)-C30)/(E30-1),2))</f>
        <v/>
      </c>
    </row>
    <row r="31">
      <c r="A31" s="6" t="inlineStr">
        <is>
          <t>XenoArtifactFoamGood</t>
        </is>
      </c>
      <c r="B31" s="7" t="inlineStr">
        <is>
          <t>Foam Good</t>
        </is>
      </c>
      <c r="C31" s="8" t="n">
        <v>8</v>
      </c>
      <c r="D31" s="9">
        <f>IF(C31=0,"never",ROUND(SUM($C$2:$C$88)/C31,1))</f>
        <v/>
      </c>
      <c r="E31" s="10" t="n"/>
      <c r="F31" s="11">
        <f>IF(OR(E31="",E31&lt;=1),"",ROUND((SUM($C$2:$C$88)-C31)/(E31-1),2))</f>
        <v/>
      </c>
    </row>
    <row r="32">
      <c r="A32" s="6" t="inlineStr">
        <is>
          <t>XenoArtifactFoamMild</t>
        </is>
      </c>
      <c r="B32" s="7" t="inlineStr">
        <is>
          <t>Foam Mild</t>
        </is>
      </c>
      <c r="C32" s="8" t="n">
        <v>3</v>
      </c>
      <c r="D32" s="9">
        <f>IF(C32=0,"never",ROUND(SUM($C$2:$C$88)/C32,1))</f>
        <v/>
      </c>
      <c r="E32" s="10" t="n"/>
      <c r="F32" s="11">
        <f>IF(OR(E32="",E32&lt;=1),"",ROUND((SUM($C$2:$C$88)-C32)/(E32-1),2))</f>
        <v/>
      </c>
    </row>
    <row r="33">
      <c r="A33" s="6" t="inlineStr">
        <is>
          <t>XenoArtifactEffectGoodFeeling</t>
        </is>
      </c>
      <c r="B33" s="7" t="inlineStr">
        <is>
          <t>Good Feeling</t>
        </is>
      </c>
      <c r="C33" s="8" t="n">
        <v>1</v>
      </c>
      <c r="D33" s="9">
        <f>IF(C33=0,"never",ROUND(SUM($C$2:$C$88)/C33,1))</f>
        <v/>
      </c>
      <c r="E33" s="10" t="n"/>
      <c r="F33" s="11">
        <f>IF(OR(E33="",E33&lt;=1),"",ROUND((SUM($C$2:$C$88)-C33)/(E33-1),2))</f>
        <v/>
      </c>
    </row>
    <row r="34">
      <c r="A34" s="6" t="inlineStr">
        <is>
          <t>XenoArtifactHealBrute</t>
        </is>
      </c>
      <c r="B34" s="7" t="inlineStr">
        <is>
          <t>Heal Brute</t>
        </is>
      </c>
      <c r="C34" s="8" t="n">
        <v>1</v>
      </c>
      <c r="D34" s="9">
        <f>IF(C34=0,"never",ROUND(SUM($C$2:$C$88)/C34,1))</f>
        <v/>
      </c>
      <c r="E34" s="10" t="n"/>
      <c r="F34" s="11">
        <f>IF(OR(E34="",E34&lt;=1),"",ROUND((SUM($C$2:$C$88)-C34)/(E34-1),2))</f>
        <v/>
      </c>
    </row>
    <row r="35">
      <c r="A35" s="6" t="inlineStr">
        <is>
          <t>XenoArtifactHealBurn</t>
        </is>
      </c>
      <c r="B35" s="7" t="inlineStr">
        <is>
          <t>Heal Burn</t>
        </is>
      </c>
      <c r="C35" s="8" t="n">
        <v>1</v>
      </c>
      <c r="D35" s="9">
        <f>IF(C35=0,"never",ROUND(SUM($C$2:$C$88)/C35,1))</f>
        <v/>
      </c>
      <c r="E35" s="10" t="n"/>
      <c r="F35" s="11">
        <f>IF(OR(E35="",E35&lt;=1),"",ROUND((SUM($C$2:$C$88)-C35)/(E35-1),2))</f>
        <v/>
      </c>
    </row>
    <row r="36">
      <c r="A36" s="6" t="inlineStr">
        <is>
          <t>XenoArtifactHealRare</t>
        </is>
      </c>
      <c r="B36" s="7" t="inlineStr">
        <is>
          <t>Heal Rare</t>
        </is>
      </c>
      <c r="C36" s="8" t="n">
        <v>2</v>
      </c>
      <c r="D36" s="9">
        <f>IF(C36=0,"never",ROUND(SUM($C$2:$C$88)/C36,1))</f>
        <v/>
      </c>
      <c r="E36" s="10" t="n"/>
      <c r="F36" s="11">
        <f>IF(OR(E36="",E36&lt;=1),"",ROUND((SUM($C$2:$C$88)-C36)/(E36-1),2))</f>
        <v/>
      </c>
    </row>
    <row r="37">
      <c r="A37" s="6" t="inlineStr">
        <is>
          <t>XenoArtifactHealAll</t>
        </is>
      </c>
      <c r="B37" s="7" t="inlineStr">
        <is>
          <t>Heal All</t>
        </is>
      </c>
      <c r="C37" s="8" t="n">
        <v>2</v>
      </c>
      <c r="D37" s="9">
        <f>IF(C37=0,"never",ROUND(SUM($C$2:$C$88)/C37,1))</f>
        <v/>
      </c>
      <c r="E37" s="10" t="n"/>
      <c r="F37" s="11">
        <f>IF(OR(E37="",E37&lt;=1),"",ROUND((SUM($C$2:$C$88)-C37)/(E37-1),2))</f>
        <v/>
      </c>
    </row>
    <row r="38">
      <c r="A38" s="6" t="inlineStr">
        <is>
          <t>XenoArtifactHeatWave</t>
        </is>
      </c>
      <c r="B38" s="7" t="inlineStr">
        <is>
          <t>Heat Wave</t>
        </is>
      </c>
      <c r="C38" s="8" t="n">
        <v>8</v>
      </c>
      <c r="D38" s="9">
        <f>IF(C38=0,"never",ROUND(SUM($C$2:$C$88)/C38,1))</f>
        <v/>
      </c>
      <c r="E38" s="10" t="n"/>
      <c r="F38" s="11">
        <f>IF(OR(E38="",E38&lt;=1),"",ROUND((SUM($C$2:$C$88)-C38)/(E38-1),2))</f>
        <v/>
      </c>
    </row>
    <row r="39">
      <c r="A39" s="6" t="inlineStr">
        <is>
          <t>XenoArtifactHostileFaunaSpawn</t>
        </is>
      </c>
      <c r="B39" s="7" t="inlineStr">
        <is>
          <t>Hostile Fauna Spawn</t>
        </is>
      </c>
      <c r="C39" s="8" t="n">
        <v>10</v>
      </c>
      <c r="D39" s="9">
        <f>IF(C39=0,"never",ROUND(SUM($C$2:$C$88)/C39,1))</f>
        <v/>
      </c>
      <c r="E39" s="10" t="n"/>
      <c r="F39" s="11">
        <f>IF(OR(E39="",E39&lt;=1),"",ROUND((SUM($C$2:$C$88)-C39)/(E39-1),2))</f>
        <v/>
      </c>
    </row>
    <row r="40">
      <c r="A40" s="6" t="inlineStr">
        <is>
          <t>XenoArtifactIgnite</t>
        </is>
      </c>
      <c r="B40" s="7" t="inlineStr">
        <is>
          <t>Ignite</t>
        </is>
      </c>
      <c r="C40" s="8" t="n">
        <v>10</v>
      </c>
      <c r="D40" s="9">
        <f>IF(C40=0,"never",ROUND(SUM($C$2:$C$88)/C40,1))</f>
        <v/>
      </c>
      <c r="E40" s="10" t="n"/>
      <c r="F40" s="11">
        <f>IF(OR(E40="",E40&lt;=1),"",ROUND((SUM($C$2:$C$88)-C40)/(E40-1),2))</f>
        <v/>
      </c>
    </row>
    <row r="41">
      <c r="A41" s="6" t="inlineStr">
        <is>
          <t>XenoArtifactEffectJunkSpawn</t>
        </is>
      </c>
      <c r="B41" s="7" t="inlineStr">
        <is>
          <t>Junk Spawn</t>
        </is>
      </c>
      <c r="C41" s="8" t="n">
        <v>0</v>
      </c>
      <c r="D41" s="9">
        <f>IF(C41=0,"never",ROUND(SUM($C$2:$C$88)/C41,1))</f>
        <v/>
      </c>
      <c r="E41" s="10" t="n"/>
      <c r="F41" s="11">
        <f>IF(OR(E41="",E41&lt;=1),"",ROUND((SUM($C$2:$C$88)-C41)/(E41-1),2))</f>
        <v/>
      </c>
    </row>
    <row r="42">
      <c r="A42" s="6" t="inlineStr">
        <is>
          <t>XenoArtifactKnock</t>
        </is>
      </c>
      <c r="B42" s="7" t="inlineStr">
        <is>
          <t>Knock</t>
        </is>
      </c>
      <c r="C42" s="8" t="n">
        <v>8</v>
      </c>
      <c r="D42" s="9">
        <f>IF(C42=0,"never",ROUND(SUM($C$2:$C$88)/C42,1))</f>
        <v/>
      </c>
      <c r="E42" s="10" t="n"/>
      <c r="F42" s="11">
        <f>IF(OR(E42="",E42&lt;=1),"",ROUND((SUM($C$2:$C$88)-C42)/(E42-1),2))</f>
        <v/>
      </c>
    </row>
    <row r="43">
      <c r="A43" s="6" t="inlineStr">
        <is>
          <t>XenoArtifactEffectLightFlicker</t>
        </is>
      </c>
      <c r="B43" s="7" t="inlineStr">
        <is>
          <t>Light Flicker</t>
        </is>
      </c>
      <c r="C43" s="8" t="n">
        <v>3</v>
      </c>
      <c r="D43" s="9">
        <f>IF(C43=0,"never",ROUND(SUM($C$2:$C$88)/C43,1))</f>
        <v/>
      </c>
      <c r="E43" s="10" t="n"/>
      <c r="F43" s="11">
        <f>IF(OR(E43="",E43&lt;=1),"",ROUND((SUM($C$2:$C$88)-C43)/(E43-1),2))</f>
        <v/>
      </c>
    </row>
    <row r="44">
      <c r="A44" s="6" t="inlineStr">
        <is>
          <t>XenoArtifactMagnet</t>
        </is>
      </c>
      <c r="B44" s="7" t="inlineStr">
        <is>
          <t>Magnet</t>
        </is>
      </c>
      <c r="C44" s="8" t="n">
        <v>10</v>
      </c>
      <c r="D44" s="9">
        <f>IF(C44=0,"never",ROUND(SUM($C$2:$C$88)/C44,1))</f>
        <v/>
      </c>
      <c r="E44" s="10" t="n"/>
      <c r="F44" s="11">
        <f>IF(OR(E44="",E44&lt;=1),"",ROUND((SUM($C$2:$C$88)-C44)/(E44-1),2))</f>
        <v/>
      </c>
    </row>
    <row r="45">
      <c r="A45" s="6" t="inlineStr">
        <is>
          <t>XenoArtifactMagnetNegative</t>
        </is>
      </c>
      <c r="B45" s="7" t="inlineStr">
        <is>
          <t>Magnet Negative</t>
        </is>
      </c>
      <c r="C45" s="8" t="n">
        <v>10</v>
      </c>
      <c r="D45" s="9">
        <f>IF(C45=0,"never",ROUND(SUM($C$2:$C$88)/C45,1))</f>
        <v/>
      </c>
      <c r="E45" s="10" t="n"/>
      <c r="F45" s="11">
        <f>IF(OR(E45="",E45&lt;=1),"",ROUND((SUM($C$2:$C$88)-C45)/(E45-1),2))</f>
        <v/>
      </c>
    </row>
    <row r="46">
      <c r="A46" s="6" t="inlineStr">
        <is>
          <t>XenoArtifactMonkeySpawn</t>
        </is>
      </c>
      <c r="B46" s="7" t="inlineStr">
        <is>
          <t>Monkey Spawn</t>
        </is>
      </c>
      <c r="C46" s="8" t="n">
        <v>3</v>
      </c>
      <c r="D46" s="9">
        <f>IF(C46=0,"never",ROUND(SUM($C$2:$C$88)/C46,1))</f>
        <v/>
      </c>
      <c r="E46" s="10" t="n"/>
      <c r="F46" s="11">
        <f>IF(OR(E46="",E46&lt;=1),"",ROUND((SUM($C$2:$C$88)-C46)/(E46-1),2))</f>
        <v/>
      </c>
    </row>
    <row r="47">
      <c r="A47" s="6" t="inlineStr">
        <is>
          <t>XenoArtifactPhasing</t>
        </is>
      </c>
      <c r="B47" s="7" t="inlineStr">
        <is>
          <t>Phasing</t>
        </is>
      </c>
      <c r="C47" s="8" t="n">
        <v>1</v>
      </c>
      <c r="D47" s="9">
        <f>IF(C47=0,"never",ROUND(SUM($C$2:$C$88)/C47,1))</f>
        <v/>
      </c>
      <c r="E47" s="10" t="n"/>
      <c r="F47" s="11">
        <f>IF(OR(E47="",E47&lt;=1),"",ROUND((SUM($C$2:$C$88)-C47)/(E47-1),2))</f>
        <v/>
      </c>
    </row>
    <row r="48">
      <c r="A48" s="6" t="inlineStr">
        <is>
          <t>XenoArtifactPolyLuminous</t>
        </is>
      </c>
      <c r="B48" s="7" t="inlineStr">
        <is>
          <t>Poly Luminous</t>
        </is>
      </c>
      <c r="C48" s="8" t="n">
        <v>3</v>
      </c>
      <c r="D48" s="9">
        <f>IF(C48=0,"never",ROUND(SUM($C$2:$C$88)/C48,1))</f>
        <v/>
      </c>
      <c r="E48" s="10" t="n"/>
      <c r="F48" s="11">
        <f>IF(OR(E48="",E48&lt;=1),"",ROUND((SUM($C$2:$C$88)-C48)/(E48-1),2))</f>
        <v/>
      </c>
    </row>
    <row r="49">
      <c r="A49" s="6" t="inlineStr">
        <is>
          <t>XenoArtifactPolyLizard</t>
        </is>
      </c>
      <c r="B49" s="7" t="inlineStr">
        <is>
          <t>Poly Lizard</t>
        </is>
      </c>
      <c r="C49" s="8" t="n">
        <v>3</v>
      </c>
      <c r="D49" s="9">
        <f>IF(C49=0,"never",ROUND(SUM($C$2:$C$88)/C49,1))</f>
        <v/>
      </c>
      <c r="E49" s="10" t="n"/>
      <c r="F49" s="11">
        <f>IF(OR(E49="",E49&lt;=1),"",ROUND((SUM($C$2:$C$88)-C49)/(E49-1),2))</f>
        <v/>
      </c>
    </row>
    <row r="50">
      <c r="A50" s="6" t="inlineStr">
        <is>
          <t>XenoArtifactPolyMonkey</t>
        </is>
      </c>
      <c r="B50" s="7" t="inlineStr">
        <is>
          <t>Poly Monkey</t>
        </is>
      </c>
      <c r="C50" s="8" t="n">
        <v>3</v>
      </c>
      <c r="D50" s="9">
        <f>IF(C50=0,"never",ROUND(SUM($C$2:$C$88)/C50,1))</f>
        <v/>
      </c>
      <c r="E50" s="10" t="n"/>
      <c r="F50" s="11">
        <f>IF(OR(E50="",E50&lt;=1),"",ROUND((SUM($C$2:$C$88)-C50)/(E50-1),2))</f>
        <v/>
      </c>
    </row>
    <row r="51">
      <c r="A51" s="6" t="inlineStr">
        <is>
          <t>XenoArtifactPortal</t>
        </is>
      </c>
      <c r="B51" s="7" t="inlineStr">
        <is>
          <t>Portal</t>
        </is>
      </c>
      <c r="C51" s="8" t="n">
        <v>3</v>
      </c>
      <c r="D51" s="9">
        <f>IF(C51=0,"never",ROUND(SUM($C$2:$C$88)/C51,1))</f>
        <v/>
      </c>
      <c r="E51" s="10" t="n"/>
      <c r="F51" s="11">
        <f>IF(OR(E51="",E51&lt;=1),"",ROUND((SUM($C$2:$C$88)-C51)/(E51-1),2))</f>
        <v/>
      </c>
    </row>
    <row r="52">
      <c r="A52" s="6" t="inlineStr">
        <is>
          <t>XenoArtifactPotassiumWave</t>
        </is>
      </c>
      <c r="B52" s="7" t="inlineStr">
        <is>
          <t>Potassium Wave</t>
        </is>
      </c>
      <c r="C52" s="8" t="n">
        <v>8</v>
      </c>
      <c r="D52" s="9">
        <f>IF(C52=0,"never",ROUND(SUM($C$2:$C$88)/C52,1))</f>
        <v/>
      </c>
      <c r="E52" s="10" t="n"/>
      <c r="F52" s="11">
        <f>IF(OR(E52="",E52&lt;=1),"",ROUND((SUM($C$2:$C$88)-C52)/(E52-1),2))</f>
        <v/>
      </c>
    </row>
    <row r="53">
      <c r="A53" s="6" t="inlineStr">
        <is>
          <t>XenoArtifactPuddleRare</t>
        </is>
      </c>
      <c r="B53" s="7" t="inlineStr">
        <is>
          <t>Puddle Rare</t>
        </is>
      </c>
      <c r="C53" s="8" t="n">
        <v>3</v>
      </c>
      <c r="D53" s="9">
        <f>IF(C53=0,"never",ROUND(SUM($C$2:$C$88)/C53,1))</f>
        <v/>
      </c>
      <c r="E53" s="10" t="n"/>
      <c r="F53" s="11">
        <f>IF(OR(E53="",E53&lt;=1),"",ROUND((SUM($C$2:$C$88)-C53)/(E53-1),2))</f>
        <v/>
      </c>
    </row>
    <row r="54">
      <c r="A54" s="6" t="inlineStr">
        <is>
          <t>XenoArtifactRadioactive</t>
        </is>
      </c>
      <c r="B54" s="7" t="inlineStr">
        <is>
          <t>Radioactive</t>
        </is>
      </c>
      <c r="C54" s="8" t="n">
        <v>3</v>
      </c>
      <c r="D54" s="9">
        <f>IF(C54=0,"never",ROUND(SUM($C$2:$C$88)/C54,1))</f>
        <v/>
      </c>
      <c r="E54" s="10" t="n"/>
      <c r="F54" s="11">
        <f>IF(OR(E54="",E54&lt;=1),"",ROUND((SUM($C$2:$C$88)-C54)/(E54-1),2))</f>
        <v/>
      </c>
    </row>
    <row r="55">
      <c r="A55" s="6" t="inlineStr">
        <is>
          <t>XenoArtifactRadioactiveStrong</t>
        </is>
      </c>
      <c r="B55" s="7" t="inlineStr">
        <is>
          <t>Radioactive Strong</t>
        </is>
      </c>
      <c r="C55" s="8" t="n">
        <v>10</v>
      </c>
      <c r="D55" s="9">
        <f>IF(C55=0,"never",ROUND(SUM($C$2:$C$88)/C55,1))</f>
        <v/>
      </c>
      <c r="E55" s="10" t="n"/>
      <c r="F55" s="11">
        <f>IF(OR(E55="",E55&lt;=1),"",ROUND((SUM($C$2:$C$88)-C55)/(E55-1),2))</f>
        <v/>
      </c>
    </row>
    <row r="56">
      <c r="A56" s="6" t="inlineStr">
        <is>
          <t>XenoArtifactRandomInstrumentSpawn</t>
        </is>
      </c>
      <c r="B56" s="7" t="inlineStr">
        <is>
          <t>Random Instrument Spawn</t>
        </is>
      </c>
      <c r="C56" s="8" t="n">
        <v>0</v>
      </c>
      <c r="D56" s="9">
        <f>IF(C56=0,"never",ROUND(SUM($C$2:$C$88)/C56,1))</f>
        <v/>
      </c>
      <c r="E56" s="10" t="n"/>
      <c r="F56" s="11">
        <f>IF(OR(E56="",E56&lt;=1),"",ROUND((SUM($C$2:$C$88)-C56)/(E56-1),2))</f>
        <v/>
      </c>
    </row>
    <row r="57">
      <c r="A57" s="6" t="inlineStr">
        <is>
          <t>XenoArtifactShatterWindows</t>
        </is>
      </c>
      <c r="B57" s="7" t="inlineStr">
        <is>
          <t>Shatter Windows</t>
        </is>
      </c>
      <c r="C57" s="8" t="n">
        <v>3</v>
      </c>
      <c r="D57" s="9">
        <f>IF(C57=0,"never",ROUND(SUM($C$2:$C$88)/C57,1))</f>
        <v/>
      </c>
      <c r="E57" s="10" t="n"/>
      <c r="F57" s="11">
        <f>IF(OR(E57="",E57&lt;=1),"",ROUND((SUM($C$2:$C$88)-C57)/(E57-1),2))</f>
        <v/>
      </c>
    </row>
    <row r="58">
      <c r="A58" s="6" t="inlineStr">
        <is>
          <t>XenoArtifactShuffle</t>
        </is>
      </c>
      <c r="B58" s="7" t="inlineStr">
        <is>
          <t>Shuffle</t>
        </is>
      </c>
      <c r="C58" s="8" t="n">
        <v>8</v>
      </c>
      <c r="D58" s="9">
        <f>IF(C58=0,"never",ROUND(SUM($C$2:$C$88)/C58,1))</f>
        <v/>
      </c>
      <c r="E58" s="10" t="n"/>
      <c r="F58" s="11">
        <f>IF(OR(E58="",E58&lt;=1),"",ROUND((SUM($C$2:$C$88)-C58)/(E58-1),2))</f>
        <v/>
      </c>
    </row>
    <row r="59">
      <c r="A59" s="6" t="inlineStr">
        <is>
          <t>XenoArtifactSolutionStorage</t>
        </is>
      </c>
      <c r="B59" s="7" t="inlineStr">
        <is>
          <t>Solution Storage</t>
        </is>
      </c>
      <c r="C59" s="8" t="n">
        <v>10</v>
      </c>
      <c r="D59" s="9">
        <f>IF(C59=0,"never",ROUND(SUM($C$2:$C$88)/C59,1))</f>
        <v/>
      </c>
      <c r="E59" s="10" t="n"/>
      <c r="F59" s="11">
        <f>IF(OR(E59="",E59&lt;=1),"",ROUND((SUM($C$2:$C$88)-C59)/(E59-1),2))</f>
        <v/>
      </c>
    </row>
    <row r="60">
      <c r="A60" s="6" t="inlineStr">
        <is>
          <t>XenoArtifactAngryCarpSpawn</t>
        </is>
      </c>
      <c r="B60" s="7" t="inlineStr">
        <is>
          <t>Angry Carp Spawn</t>
        </is>
      </c>
      <c r="C60" s="8" t="n">
        <v>8</v>
      </c>
      <c r="D60" s="9">
        <f>IF(C60=0,"never",ROUND(SUM($C$2:$C$88)/C60,1))</f>
        <v/>
      </c>
      <c r="E60" s="10" t="n"/>
      <c r="F60" s="11">
        <f>IF(OR(E60="",E60&lt;=1),"",ROUND((SUM($C$2:$C$88)-C60)/(E60-1),2))</f>
        <v/>
      </c>
    </row>
    <row r="61">
      <c r="A61" s="6" t="inlineStr">
        <is>
          <t>XenoArtifactMaterialSpawnGlassFew</t>
        </is>
      </c>
      <c r="B61" s="7" t="inlineStr">
        <is>
          <t>Material Spawn Glass Few</t>
        </is>
      </c>
      <c r="C61" s="8" t="n">
        <v>0</v>
      </c>
      <c r="D61" s="9">
        <f>IF(C61=0,"never",ROUND(SUM($C$2:$C$88)/C61,1))</f>
        <v/>
      </c>
      <c r="E61" s="10" t="n"/>
      <c r="F61" s="11">
        <f>IF(OR(E61="",E61&lt;=1),"",ROUND((SUM($C$2:$C$88)-C61)/(E61-1),2))</f>
        <v/>
      </c>
    </row>
    <row r="62">
      <c r="A62" s="6" t="inlineStr">
        <is>
          <t>XenoArtifactMaterialSpawnGlassMany</t>
        </is>
      </c>
      <c r="B62" s="7" t="inlineStr">
        <is>
          <t>Material Spawn Glass Many</t>
        </is>
      </c>
      <c r="C62" s="8" t="n">
        <v>2</v>
      </c>
      <c r="D62" s="9">
        <f>IF(C62=0,"never",ROUND(SUM($C$2:$C$88)/C62,1))</f>
        <v/>
      </c>
      <c r="E62" s="10" t="n"/>
      <c r="F62" s="11">
        <f>IF(OR(E62="",E62&lt;=1),"",ROUND((SUM($C$2:$C$88)-C62)/(E62-1),2))</f>
        <v/>
      </c>
    </row>
    <row r="63">
      <c r="A63" s="6" t="inlineStr">
        <is>
          <t>XenoArtifactMaterialSpawnGlassStack</t>
        </is>
      </c>
      <c r="B63" s="7" t="inlineStr">
        <is>
          <t>Material Spawn Glass Stack</t>
        </is>
      </c>
      <c r="C63" s="8" t="n">
        <v>3</v>
      </c>
      <c r="D63" s="9">
        <f>IF(C63=0,"never",ROUND(SUM($C$2:$C$88)/C63,1))</f>
        <v/>
      </c>
      <c r="E63" s="10" t="n"/>
      <c r="F63" s="11">
        <f>IF(OR(E63="",E63&lt;=1),"",ROUND((SUM($C$2:$C$88)-C63)/(E63-1),2))</f>
        <v/>
      </c>
    </row>
    <row r="64">
      <c r="A64" s="6" t="inlineStr">
        <is>
          <t>XenoArtifactMaterialSpawnSteelFew</t>
        </is>
      </c>
      <c r="B64" s="7" t="inlineStr">
        <is>
          <t>Material Spawn Steel Few</t>
        </is>
      </c>
      <c r="C64" s="8" t="n">
        <v>0</v>
      </c>
      <c r="D64" s="9">
        <f>IF(C64=0,"never",ROUND(SUM($C$2:$C$88)/C64,1))</f>
        <v/>
      </c>
      <c r="E64" s="10" t="n"/>
      <c r="F64" s="11">
        <f>IF(OR(E64="",E64&lt;=1),"",ROUND((SUM($C$2:$C$88)-C64)/(E64-1),2))</f>
        <v/>
      </c>
    </row>
    <row r="65">
      <c r="A65" s="6" t="inlineStr">
        <is>
          <t>XenoArtifactMaterialSpawnSteelMany</t>
        </is>
      </c>
      <c r="B65" s="7" t="inlineStr">
        <is>
          <t>Material Spawn Steel Many</t>
        </is>
      </c>
      <c r="C65" s="8" t="n">
        <v>2</v>
      </c>
      <c r="D65" s="9">
        <f>IF(C65=0,"never",ROUND(SUM($C$2:$C$88)/C65,1))</f>
        <v/>
      </c>
      <c r="E65" s="10" t="n"/>
      <c r="F65" s="11">
        <f>IF(OR(E65="",E65&lt;=1),"",ROUND((SUM($C$2:$C$88)-C65)/(E65-1),2))</f>
        <v/>
      </c>
    </row>
    <row r="66">
      <c r="A66" s="6" t="inlineStr">
        <is>
          <t>XenoArtifactMaterialSpawnSteelStack</t>
        </is>
      </c>
      <c r="B66" s="7" t="inlineStr">
        <is>
          <t>Material Spawn Steel Stack</t>
        </is>
      </c>
      <c r="C66" s="8" t="n">
        <v>3</v>
      </c>
      <c r="D66" s="9">
        <f>IF(C66=0,"never",ROUND(SUM($C$2:$C$88)/C66,1))</f>
        <v/>
      </c>
      <c r="E66" s="10" t="n"/>
      <c r="F66" s="11">
        <f>IF(OR(E66="",E66&lt;=1),"",ROUND((SUM($C$2:$C$88)-C66)/(E66-1),2))</f>
        <v/>
      </c>
    </row>
    <row r="67">
      <c r="A67" s="6" t="inlineStr">
        <is>
          <t>XenoArtifactMaterialSpawnPlasticFew</t>
        </is>
      </c>
      <c r="B67" s="7" t="inlineStr">
        <is>
          <t>Material Spawn Plastic Few</t>
        </is>
      </c>
      <c r="C67" s="8" t="n">
        <v>0</v>
      </c>
      <c r="D67" s="9">
        <f>IF(C67=0,"never",ROUND(SUM($C$2:$C$88)/C67,1))</f>
        <v/>
      </c>
      <c r="E67" s="10" t="n"/>
      <c r="F67" s="11">
        <f>IF(OR(E67="",E67&lt;=1),"",ROUND((SUM($C$2:$C$88)-C67)/(E67-1),2))</f>
        <v/>
      </c>
    </row>
    <row r="68">
      <c r="A68" s="6" t="inlineStr">
        <is>
          <t>XenoArtifactMaterialSpawnPlasticMany</t>
        </is>
      </c>
      <c r="B68" s="7" t="inlineStr">
        <is>
          <t>Material Spawn Plastic Many</t>
        </is>
      </c>
      <c r="C68" s="8" t="n">
        <v>2</v>
      </c>
      <c r="D68" s="9">
        <f>IF(C68=0,"never",ROUND(SUM($C$2:$C$88)/C68,1))</f>
        <v/>
      </c>
      <c r="E68" s="10" t="n"/>
      <c r="F68" s="11">
        <f>IF(OR(E68="",E68&lt;=1),"",ROUND((SUM($C$2:$C$88)-C68)/(E68-1),2))</f>
        <v/>
      </c>
    </row>
    <row r="69">
      <c r="A69" s="6" t="inlineStr">
        <is>
          <t>XenoArtifactMaterialSpawnPlasticStack</t>
        </is>
      </c>
      <c r="B69" s="7" t="inlineStr">
        <is>
          <t>Material Spawn Plastic Stack</t>
        </is>
      </c>
      <c r="C69" s="8" t="n">
        <v>3</v>
      </c>
      <c r="D69" s="9">
        <f>IF(C69=0,"never",ROUND(SUM($C$2:$C$88)/C69,1))</f>
        <v/>
      </c>
      <c r="E69" s="10" t="n"/>
      <c r="F69" s="11">
        <f>IF(OR(E69="",E69&lt;=1),"",ROUND((SUM($C$2:$C$88)-C69)/(E69-1),2))</f>
        <v/>
      </c>
    </row>
    <row r="70">
      <c r="A70" s="6" t="inlineStr">
        <is>
          <t>XenoArtifactRawMaterialSpawnBananiumFew</t>
        </is>
      </c>
      <c r="B70" s="7" t="inlineStr">
        <is>
          <t>Raw Material Spawn Bananium Few</t>
        </is>
      </c>
      <c r="C70" s="8" t="n">
        <v>1</v>
      </c>
      <c r="D70" s="9">
        <f>IF(C70=0,"never",ROUND(SUM($C$2:$C$88)/C70,1))</f>
        <v/>
      </c>
      <c r="E70" s="10" t="n"/>
      <c r="F70" s="11">
        <f>IF(OR(E70="",E70&lt;=1),"",ROUND((SUM($C$2:$C$88)-C70)/(E70-1),2))</f>
        <v/>
      </c>
    </row>
    <row r="71">
      <c r="A71" s="6" t="inlineStr">
        <is>
          <t>XenoArtifactRawMaterialSpawnBananiumMore</t>
        </is>
      </c>
      <c r="B71" s="7" t="inlineStr">
        <is>
          <t>Raw Material Spawn Bananium More</t>
        </is>
      </c>
      <c r="C71" s="8" t="n">
        <v>3</v>
      </c>
      <c r="D71" s="9">
        <f>IF(C71=0,"never",ROUND(SUM($C$2:$C$88)/C71,1))</f>
        <v/>
      </c>
      <c r="E71" s="10" t="n"/>
      <c r="F71" s="11">
        <f>IF(OR(E71="",E71&lt;=1),"",ROUND((SUM($C$2:$C$88)-C71)/(E71-1),2))</f>
        <v/>
      </c>
    </row>
    <row r="72">
      <c r="A72" s="6" t="inlineStr">
        <is>
          <t>XenoArtifactRawMaterialSpawnBananiumMany</t>
        </is>
      </c>
      <c r="B72" s="7" t="inlineStr">
        <is>
          <t>Raw Material Spawn Bananium Many</t>
        </is>
      </c>
      <c r="C72" s="8" t="n">
        <v>3</v>
      </c>
      <c r="D72" s="9">
        <f>IF(C72=0,"never",ROUND(SUM($C$2:$C$88)/C72,1))</f>
        <v/>
      </c>
      <c r="E72" s="10" t="n"/>
      <c r="F72" s="11">
        <f>IF(OR(E72="",E72&lt;=1),"",ROUND((SUM($C$2:$C$88)-C72)/(E72-1),2))</f>
        <v/>
      </c>
    </row>
    <row r="73">
      <c r="A73" s="6" t="inlineStr">
        <is>
          <t>XenoArtifactRawMaterialSpawnGoldFew</t>
        </is>
      </c>
      <c r="B73" s="7" t="inlineStr">
        <is>
          <t>Raw Material Spawn Gold Few</t>
        </is>
      </c>
      <c r="C73" s="8" t="n">
        <v>1</v>
      </c>
      <c r="D73" s="9">
        <f>IF(C73=0,"never",ROUND(SUM($C$2:$C$88)/C73,1))</f>
        <v/>
      </c>
      <c r="E73" s="10" t="n"/>
      <c r="F73" s="11">
        <f>IF(OR(E73="",E73&lt;=1),"",ROUND((SUM($C$2:$C$88)-C73)/(E73-1),2))</f>
        <v/>
      </c>
    </row>
    <row r="74">
      <c r="A74" s="6" t="inlineStr">
        <is>
          <t>XenoArtifactRawMaterialSpawnGoldMore</t>
        </is>
      </c>
      <c r="B74" s="7" t="inlineStr">
        <is>
          <t>Raw Material Spawn Gold More</t>
        </is>
      </c>
      <c r="C74" s="8" t="n">
        <v>3</v>
      </c>
      <c r="D74" s="9">
        <f>IF(C74=0,"never",ROUND(SUM($C$2:$C$88)/C74,1))</f>
        <v/>
      </c>
      <c r="E74" s="10" t="n"/>
      <c r="F74" s="11">
        <f>IF(OR(E74="",E74&lt;=1),"",ROUND((SUM($C$2:$C$88)-C74)/(E74-1),2))</f>
        <v/>
      </c>
    </row>
    <row r="75">
      <c r="A75" s="6" t="inlineStr">
        <is>
          <t>XenoArtifactRawMaterialSpawnGoldMany</t>
        </is>
      </c>
      <c r="B75" s="7" t="inlineStr">
        <is>
          <t>Raw Material Spawn Gold Many</t>
        </is>
      </c>
      <c r="C75" s="8" t="n">
        <v>8</v>
      </c>
      <c r="D75" s="9">
        <f>IF(C75=0,"never",ROUND(SUM($C$2:$C$88)/C75,1))</f>
        <v/>
      </c>
      <c r="E75" s="10" t="n"/>
      <c r="F75" s="11">
        <f>IF(OR(E75="",E75&lt;=1),"",ROUND((SUM($C$2:$C$88)-C75)/(E75-1),2))</f>
        <v/>
      </c>
    </row>
    <row r="76">
      <c r="A76" s="6" t="inlineStr">
        <is>
          <t>XenoArtifactRawMaterialSpawnPlasmaFew</t>
        </is>
      </c>
      <c r="B76" s="7" t="inlineStr">
        <is>
          <t>Raw Material Spawn Plasma Few</t>
        </is>
      </c>
      <c r="C76" s="8" t="n">
        <v>1</v>
      </c>
      <c r="D76" s="9">
        <f>IF(C76=0,"never",ROUND(SUM($C$2:$C$88)/C76,1))</f>
        <v/>
      </c>
      <c r="E76" s="10" t="n"/>
      <c r="F76" s="11">
        <f>IF(OR(E76="",E76&lt;=1),"",ROUND((SUM($C$2:$C$88)-C76)/(E76-1),2))</f>
        <v/>
      </c>
    </row>
    <row r="77">
      <c r="A77" s="6" t="inlineStr">
        <is>
          <t>XenoArtifactRawMaterialSpawnPlasmaMore</t>
        </is>
      </c>
      <c r="B77" s="7" t="inlineStr">
        <is>
          <t>Raw Material Spawn Plasma More</t>
        </is>
      </c>
      <c r="C77" s="8" t="n">
        <v>3</v>
      </c>
      <c r="D77" s="9">
        <f>IF(C77=0,"never",ROUND(SUM($C$2:$C$88)/C77,1))</f>
        <v/>
      </c>
      <c r="E77" s="10" t="n"/>
      <c r="F77" s="11">
        <f>IF(OR(E77="",E77&lt;=1),"",ROUND((SUM($C$2:$C$88)-C77)/(E77-1),2))</f>
        <v/>
      </c>
    </row>
    <row r="78">
      <c r="A78" s="6" t="inlineStr">
        <is>
          <t>XenoArtifactRawMaterialSpawnPlasmaMany</t>
        </is>
      </c>
      <c r="B78" s="7" t="inlineStr">
        <is>
          <t>Raw Material Spawn Plasma Many</t>
        </is>
      </c>
      <c r="C78" s="8" t="n">
        <v>8</v>
      </c>
      <c r="D78" s="9">
        <f>IF(C78=0,"never",ROUND(SUM($C$2:$C$88)/C78,1))</f>
        <v/>
      </c>
      <c r="E78" s="10" t="n"/>
      <c r="F78" s="11">
        <f>IF(OR(E78="",E78&lt;=1),"",ROUND((SUM($C$2:$C$88)-C78)/(E78-1),2))</f>
        <v/>
      </c>
    </row>
    <row r="79">
      <c r="A79" s="6" t="inlineStr">
        <is>
          <t>XenoArtifactRawMaterialSpawnSilverFew</t>
        </is>
      </c>
      <c r="B79" s="7" t="inlineStr">
        <is>
          <t>Raw Material Spawn Silver Few</t>
        </is>
      </c>
      <c r="C79" s="8" t="n">
        <v>1</v>
      </c>
      <c r="D79" s="9">
        <f>IF(C79=0,"never",ROUND(SUM($C$2:$C$88)/C79,1))</f>
        <v/>
      </c>
      <c r="E79" s="10" t="n"/>
      <c r="F79" s="11">
        <f>IF(OR(E79="",E79&lt;=1),"",ROUND((SUM($C$2:$C$88)-C79)/(E79-1),2))</f>
        <v/>
      </c>
    </row>
    <row r="80">
      <c r="A80" s="6" t="inlineStr">
        <is>
          <t>XenoArtifactRawMaterialSpawnSilverMore</t>
        </is>
      </c>
      <c r="B80" s="7" t="inlineStr">
        <is>
          <t>Raw Material Spawn Silver More</t>
        </is>
      </c>
      <c r="C80" s="8" t="n">
        <v>3</v>
      </c>
      <c r="D80" s="9">
        <f>IF(C80=0,"never",ROUND(SUM($C$2:$C$88)/C80,1))</f>
        <v/>
      </c>
      <c r="E80" s="10" t="n"/>
      <c r="F80" s="11">
        <f>IF(OR(E80="",E80&lt;=1),"",ROUND((SUM($C$2:$C$88)-C80)/(E80-1),2))</f>
        <v/>
      </c>
    </row>
    <row r="81">
      <c r="A81" s="6" t="inlineStr">
        <is>
          <t>XenoArtifactRawMaterialSpawnSilverMany</t>
        </is>
      </c>
      <c r="B81" s="7" t="inlineStr">
        <is>
          <t>Raw Material Spawn Silver Many</t>
        </is>
      </c>
      <c r="C81" s="8" t="n">
        <v>8</v>
      </c>
      <c r="D81" s="9">
        <f>IF(C81=0,"never",ROUND(SUM($C$2:$C$88)/C81,1))</f>
        <v/>
      </c>
      <c r="E81" s="10" t="n"/>
      <c r="F81" s="11">
        <f>IF(OR(E81="",E81&lt;=1),"",ROUND((SUM($C$2:$C$88)-C81)/(E81-1),2))</f>
        <v/>
      </c>
    </row>
    <row r="82">
      <c r="A82" s="6" t="inlineStr">
        <is>
          <t>XenoArtifactRawMaterialSpawnUraniumFew</t>
        </is>
      </c>
      <c r="B82" s="7" t="inlineStr">
        <is>
          <t>Raw Material Spawn Uranium Few</t>
        </is>
      </c>
      <c r="C82" s="8" t="n">
        <v>1</v>
      </c>
      <c r="D82" s="9">
        <f>IF(C82=0,"never",ROUND(SUM($C$2:$C$88)/C82,1))</f>
        <v/>
      </c>
      <c r="E82" s="10" t="n"/>
      <c r="F82" s="11">
        <f>IF(OR(E82="",E82&lt;=1),"",ROUND((SUM($C$2:$C$88)-C82)/(E82-1),2))</f>
        <v/>
      </c>
    </row>
    <row r="83">
      <c r="A83" s="6" t="inlineStr">
        <is>
          <t>XenoArtifactRawMaterialSpawnUraniumMore</t>
        </is>
      </c>
      <c r="B83" s="7" t="inlineStr">
        <is>
          <t>Raw Material Spawn Uranium More</t>
        </is>
      </c>
      <c r="C83" s="8" t="n">
        <v>3</v>
      </c>
      <c r="D83" s="9">
        <f>IF(C83=0,"never",ROUND(SUM($C$2:$C$88)/C83,1))</f>
        <v/>
      </c>
      <c r="E83" s="10" t="n"/>
      <c r="F83" s="11">
        <f>IF(OR(E83="",E83&lt;=1),"",ROUND((SUM($C$2:$C$88)-C83)/(E83-1),2))</f>
        <v/>
      </c>
    </row>
    <row r="84">
      <c r="A84" s="6" t="inlineStr">
        <is>
          <t>XenoArtifactRawMaterialSpawnUraniumMany</t>
        </is>
      </c>
      <c r="B84" s="7" t="inlineStr">
        <is>
          <t>Raw Material Spawn Uranium Many</t>
        </is>
      </c>
      <c r="C84" s="8" t="n">
        <v>8</v>
      </c>
      <c r="D84" s="9">
        <f>IF(C84=0,"never",ROUND(SUM($C$2:$C$88)/C84,1))</f>
        <v/>
      </c>
      <c r="E84" s="10" t="n"/>
      <c r="F84" s="11">
        <f>IF(OR(E84="",E84&lt;=1),"",ROUND((SUM($C$2:$C$88)-C84)/(E84-1),2))</f>
        <v/>
      </c>
    </row>
    <row r="85">
      <c r="A85" s="6" t="inlineStr">
        <is>
          <t>XenoArtifactStealth</t>
        </is>
      </c>
      <c r="B85" s="7" t="inlineStr">
        <is>
          <t>Stealth</t>
        </is>
      </c>
      <c r="C85" s="8" t="n">
        <v>8</v>
      </c>
      <c r="D85" s="9">
        <f>IF(C85=0,"never",ROUND(SUM($C$2:$C$88)/C85,1))</f>
        <v/>
      </c>
      <c r="E85" s="10" t="n"/>
      <c r="F85" s="11">
        <f>IF(OR(E85="",E85&lt;=1),"",ROUND((SUM($C$2:$C$88)-C85)/(E85-1),2))</f>
        <v/>
      </c>
    </row>
    <row r="86">
      <c r="A86" s="6" t="inlineStr">
        <is>
          <t>XenoArtifactTeleport</t>
        </is>
      </c>
      <c r="B86" s="7" t="inlineStr">
        <is>
          <t>Teleport</t>
        </is>
      </c>
      <c r="C86" s="8" t="n">
        <v>3</v>
      </c>
      <c r="D86" s="9">
        <f>IF(C86=0,"never",ROUND(SUM($C$2:$C$88)/C86,1))</f>
        <v/>
      </c>
      <c r="E86" s="10" t="n"/>
      <c r="F86" s="11">
        <f>IF(OR(E86="",E86&lt;=1),"",ROUND((SUM($C$2:$C$88)-C86)/(E86-1),2))</f>
        <v/>
      </c>
    </row>
    <row r="87">
      <c r="A87" s="6" t="inlineStr">
        <is>
          <t>XenoArtifactThrowThingsAround</t>
        </is>
      </c>
      <c r="B87" s="7" t="inlineStr">
        <is>
          <t>Throw Things Around</t>
        </is>
      </c>
      <c r="C87" s="8" t="n">
        <v>3</v>
      </c>
      <c r="D87" s="9">
        <f>IF(C87=0,"never",ROUND(SUM($C$2:$C$88)/C87,1))</f>
        <v/>
      </c>
      <c r="E87" s="10" t="n"/>
      <c r="F87" s="11">
        <f>IF(OR(E87="",E87&lt;=1),"",ROUND((SUM($C$2:$C$88)-C87)/(E87-1),2))</f>
        <v/>
      </c>
    </row>
    <row r="88">
      <c r="A88" s="6" t="inlineStr">
        <is>
          <t>XenoArtifactWandering</t>
        </is>
      </c>
      <c r="B88" s="7" t="inlineStr">
        <is>
          <t>Wandering</t>
        </is>
      </c>
      <c r="C88" s="8" t="n">
        <v>8</v>
      </c>
      <c r="D88" s="9">
        <f>IF(C88=0,"never",ROUND(SUM($C$2:$C$88)/C88,1))</f>
        <v/>
      </c>
      <c r="E88" s="10" t="n"/>
      <c r="F88" s="11">
        <f>IF(OR(E88="",E88&lt;=1),"",ROUND((SUM($C$2:$C$88)-C88)/(E88-1),2))</f>
        <v/>
      </c>
    </row>
    <row r="89">
      <c r="A89" s="12" t="n"/>
      <c r="B89" s="13" t="inlineStr">
        <is>
          <t>TOTAL WEIGHT</t>
        </is>
      </c>
      <c r="C89" s="14">
        <f>SUM($C$2:$C$88)</f>
        <v/>
      </c>
      <c r="D89" s="12" t="n"/>
      <c r="E89" s="12" t="n"/>
      <c r="F89" s="1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1" customWidth="1" min="3" max="3"/>
    <col width="15" customWidth="1" min="4" max="4"/>
    <col width="14" customWidth="1" min="5" max="5"/>
    <col width="16" customWidth="1" min="6" max="6"/>
  </cols>
  <sheetData>
    <row r="1" ht="30" customHeight="1">
      <c r="A1" s="5" t="inlineStr">
        <is>
          <t>ID (do not edit)</t>
        </is>
      </c>
      <c r="B1" s="5" t="inlineStr">
        <is>
          <t>Description</t>
        </is>
      </c>
      <c r="C1" s="5" t="inlineStr">
        <is>
          <t>Weight</t>
        </is>
      </c>
      <c r="D1" s="5" t="inlineStr">
        <is>
          <t>Appears ~1 in X</t>
        </is>
      </c>
      <c r="E1" s="5" t="inlineStr">
        <is>
          <t>Target: 1 in X</t>
        </is>
      </c>
      <c r="F1" s="5" t="inlineStr">
        <is>
          <t>Suggested weight</t>
        </is>
      </c>
    </row>
    <row r="2">
      <c r="A2" s="6" t="inlineStr">
        <is>
          <t>XenoArtifactSpeedUp</t>
        </is>
      </c>
      <c r="B2" s="7" t="inlineStr">
        <is>
          <t>Speed Up</t>
        </is>
      </c>
      <c r="C2" s="8" t="n">
        <v>3</v>
      </c>
      <c r="D2" s="9">
        <f>IF(C2=0,"never",ROUND(SUM($C$2:$C$11)/C2,1))</f>
        <v/>
      </c>
      <c r="E2" s="10" t="n"/>
      <c r="F2" s="11">
        <f>IF(OR(E2="",E2&lt;=1),"",ROUND((SUM($C$2:$C$11)-C2)/(E2-1),2))</f>
        <v/>
      </c>
    </row>
    <row r="3">
      <c r="A3" s="6" t="inlineStr">
        <is>
          <t>XenoArtifactToolCrowbar</t>
        </is>
      </c>
      <c r="B3" s="7" t="inlineStr">
        <is>
          <t>Tool Crowbar</t>
        </is>
      </c>
      <c r="C3" s="8" t="n">
        <v>10</v>
      </c>
      <c r="D3" s="9">
        <f>IF(C3=0,"never",ROUND(SUM($C$2:$C$11)/C3,1))</f>
        <v/>
      </c>
      <c r="E3" s="10" t="n"/>
      <c r="F3" s="11">
        <f>IF(OR(E3="",E3&lt;=1),"",ROUND((SUM($C$2:$C$11)-C3)/(E3-1),2))</f>
        <v/>
      </c>
    </row>
    <row r="4">
      <c r="A4" s="6" t="inlineStr">
        <is>
          <t>XenoArtifactToolScrewdriver</t>
        </is>
      </c>
      <c r="B4" s="7" t="inlineStr">
        <is>
          <t>Tool Screwdriver</t>
        </is>
      </c>
      <c r="C4" s="8" t="n">
        <v>10</v>
      </c>
      <c r="D4" s="9">
        <f>IF(C4=0,"never",ROUND(SUM($C$2:$C$11)/C4,1))</f>
        <v/>
      </c>
      <c r="E4" s="10" t="n"/>
      <c r="F4" s="11">
        <f>IF(OR(E4="",E4&lt;=1),"",ROUND((SUM($C$2:$C$11)-C4)/(E4-1),2))</f>
        <v/>
      </c>
    </row>
    <row r="5">
      <c r="A5" s="6" t="inlineStr">
        <is>
          <t>XenoArtifactToolWrench</t>
        </is>
      </c>
      <c r="B5" s="7" t="inlineStr">
        <is>
          <t>Tool Wrench</t>
        </is>
      </c>
      <c r="C5" s="8" t="n">
        <v>10</v>
      </c>
      <c r="D5" s="9">
        <f>IF(C5=0,"never",ROUND(SUM($C$2:$C$11)/C5,1))</f>
        <v/>
      </c>
      <c r="E5" s="10" t="n"/>
      <c r="F5" s="11">
        <f>IF(OR(E5="",E5&lt;=1),"",ROUND((SUM($C$2:$C$11)-C5)/(E5-1),2))</f>
        <v/>
      </c>
    </row>
    <row r="6">
      <c r="A6" s="6" t="inlineStr">
        <is>
          <t>XenoArtifactToolWirecutter</t>
        </is>
      </c>
      <c r="B6" s="7" t="inlineStr">
        <is>
          <t>Tool Wirecutter</t>
        </is>
      </c>
      <c r="C6" s="8" t="n">
        <v>10</v>
      </c>
      <c r="D6" s="9">
        <f>IF(C6=0,"never",ROUND(SUM($C$2:$C$11)/C6,1))</f>
        <v/>
      </c>
      <c r="E6" s="10" t="n"/>
      <c r="F6" s="11">
        <f>IF(OR(E6="",E6&lt;=1),"",ROUND((SUM($C$2:$C$11)-C6)/(E6-1),2))</f>
        <v/>
      </c>
    </row>
    <row r="7">
      <c r="A7" s="6" t="inlineStr">
        <is>
          <t>XenoArtifactToolJaws</t>
        </is>
      </c>
      <c r="B7" s="7" t="inlineStr">
        <is>
          <t>Tool Jaws</t>
        </is>
      </c>
      <c r="C7" s="8" t="n">
        <v>2</v>
      </c>
      <c r="D7" s="9">
        <f>IF(C7=0,"never",ROUND(SUM($C$2:$C$11)/C7,1))</f>
        <v/>
      </c>
      <c r="E7" s="10" t="n"/>
      <c r="F7" s="11">
        <f>IF(OR(E7="",E7&lt;=1),"",ROUND((SUM($C$2:$C$11)-C7)/(E7-1),2))</f>
        <v/>
      </c>
    </row>
    <row r="8">
      <c r="A8" s="6" t="inlineStr">
        <is>
          <t>XenoArtifactToolPowerDrill</t>
        </is>
      </c>
      <c r="B8" s="7" t="inlineStr">
        <is>
          <t>Tool Power Drill</t>
        </is>
      </c>
      <c r="C8" s="8" t="n">
        <v>2</v>
      </c>
      <c r="D8" s="9">
        <f>IF(C8=0,"never",ROUND(SUM($C$2:$C$11)/C8,1))</f>
        <v/>
      </c>
      <c r="E8" s="10" t="n"/>
      <c r="F8" s="11">
        <f>IF(OR(E8="",E8&lt;=1),"",ROUND((SUM($C$2:$C$11)-C8)/(E8-1),2))</f>
        <v/>
      </c>
    </row>
    <row r="9">
      <c r="A9" s="6" t="inlineStr">
        <is>
          <t>XenoArtifactToolKnife</t>
        </is>
      </c>
      <c r="B9" s="7" t="inlineStr">
        <is>
          <t>Tool Knife</t>
        </is>
      </c>
      <c r="C9" s="8" t="n">
        <v>3</v>
      </c>
      <c r="D9" s="9">
        <f>IF(C9=0,"never",ROUND(SUM($C$2:$C$11)/C9,1))</f>
        <v/>
      </c>
      <c r="E9" s="10" t="n"/>
      <c r="F9" s="11">
        <f>IF(OR(E9="",E9&lt;=1),"",ROUND((SUM($C$2:$C$11)-C9)/(E9-1),2))</f>
        <v/>
      </c>
    </row>
    <row r="10">
      <c r="A10" s="6" t="inlineStr">
        <is>
          <t>XenoArtifactOmnitool</t>
        </is>
      </c>
      <c r="B10" s="7" t="inlineStr">
        <is>
          <t>Omnitool</t>
        </is>
      </c>
      <c r="C10" s="8" t="n">
        <v>1</v>
      </c>
      <c r="D10" s="9">
        <f>IF(C10=0,"never",ROUND(SUM($C$2:$C$11)/C10,1))</f>
        <v/>
      </c>
      <c r="E10" s="10" t="n"/>
      <c r="F10" s="11">
        <f>IF(OR(E10="",E10&lt;=1),"",ROUND((SUM($C$2:$C$11)-C10)/(E10-1),2))</f>
        <v/>
      </c>
    </row>
    <row r="11">
      <c r="A11" s="6" t="inlineStr">
        <is>
          <t>XenoArtifactToolDrill</t>
        </is>
      </c>
      <c r="B11" s="7" t="inlineStr">
        <is>
          <t>Tool Drill</t>
        </is>
      </c>
      <c r="C11" s="8" t="n">
        <v>3</v>
      </c>
      <c r="D11" s="9">
        <f>IF(C11=0,"never",ROUND(SUM($C$2:$C$11)/C11,1))</f>
        <v/>
      </c>
      <c r="E11" s="10" t="n"/>
      <c r="F11" s="11">
        <f>IF(OR(E11="",E11&lt;=1),"",ROUND((SUM($C$2:$C$11)-C11)/(E11-1),2))</f>
        <v/>
      </c>
    </row>
    <row r="12">
      <c r="A12" s="12" t="n"/>
      <c r="B12" s="13" t="inlineStr">
        <is>
          <t>TOTAL WEIGHT</t>
        </is>
      </c>
      <c r="C12" s="14">
        <f>SUM($C$2:$C$11)</f>
        <v/>
      </c>
      <c r="D12" s="12" t="n"/>
      <c r="E12" s="12" t="n"/>
      <c r="F12" s="1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1" customWidth="1" min="3" max="3"/>
    <col width="15" customWidth="1" min="4" max="4"/>
    <col width="14" customWidth="1" min="5" max="5"/>
    <col width="16" customWidth="1" min="6" max="6"/>
  </cols>
  <sheetData>
    <row r="1" ht="30" customHeight="1">
      <c r="A1" s="5" t="inlineStr">
        <is>
          <t>ID (do not edit)</t>
        </is>
      </c>
      <c r="B1" s="5" t="inlineStr">
        <is>
          <t>Description</t>
        </is>
      </c>
      <c r="C1" s="5" t="inlineStr">
        <is>
          <t>Weight</t>
        </is>
      </c>
      <c r="D1" s="5" t="inlineStr">
        <is>
          <t>Appears ~1 in X</t>
        </is>
      </c>
      <c r="E1" s="5" t="inlineStr">
        <is>
          <t>Target: 1 in X</t>
        </is>
      </c>
      <c r="F1" s="5" t="inlineStr">
        <is>
          <t>Suggested weight</t>
        </is>
      </c>
    </row>
    <row r="2">
      <c r="A2" s="6" t="inlineStr">
        <is>
          <t>XenoArtifactSpeedUp</t>
        </is>
      </c>
      <c r="B2" s="7" t="inlineStr">
        <is>
          <t>Speed Up</t>
        </is>
      </c>
      <c r="C2" s="8" t="n">
        <v>10</v>
      </c>
      <c r="D2" s="9">
        <f>IF(C2=0,"never",ROUND(SUM($C$2:$C$11)/C2,1))</f>
        <v/>
      </c>
      <c r="E2" s="10" t="n"/>
      <c r="F2" s="11">
        <f>IF(OR(E2="",E2&lt;=1),"",ROUND((SUM($C$2:$C$11)-C2)/(E2-1),2))</f>
        <v/>
      </c>
    </row>
    <row r="3">
      <c r="A3" s="6" t="inlineStr">
        <is>
          <t>XenoArtifactToolCrowbar</t>
        </is>
      </c>
      <c r="B3" s="7" t="inlineStr">
        <is>
          <t>Tool Crowbar</t>
        </is>
      </c>
      <c r="C3" s="8" t="n">
        <v>3</v>
      </c>
      <c r="D3" s="9">
        <f>IF(C3=0,"never",ROUND(SUM($C$2:$C$11)/C3,1))</f>
        <v/>
      </c>
      <c r="E3" s="10" t="n"/>
      <c r="F3" s="11">
        <f>IF(OR(E3="",E3&lt;=1),"",ROUND((SUM($C$2:$C$11)-C3)/(E3-1),2))</f>
        <v/>
      </c>
    </row>
    <row r="4">
      <c r="A4" s="6" t="inlineStr">
        <is>
          <t>XenoArtifactToolScrewdriver</t>
        </is>
      </c>
      <c r="B4" s="7" t="inlineStr">
        <is>
          <t>Tool Screwdriver</t>
        </is>
      </c>
      <c r="C4" s="8" t="n">
        <v>3</v>
      </c>
      <c r="D4" s="9">
        <f>IF(C4=0,"never",ROUND(SUM($C$2:$C$11)/C4,1))</f>
        <v/>
      </c>
      <c r="E4" s="10" t="n"/>
      <c r="F4" s="11">
        <f>IF(OR(E4="",E4&lt;=1),"",ROUND((SUM($C$2:$C$11)-C4)/(E4-1),2))</f>
        <v/>
      </c>
    </row>
    <row r="5">
      <c r="A5" s="6" t="inlineStr">
        <is>
          <t>XenoArtifactToolWrench</t>
        </is>
      </c>
      <c r="B5" s="7" t="inlineStr">
        <is>
          <t>Tool Wrench</t>
        </is>
      </c>
      <c r="C5" s="8" t="n">
        <v>3</v>
      </c>
      <c r="D5" s="9">
        <f>IF(C5=0,"never",ROUND(SUM($C$2:$C$11)/C5,1))</f>
        <v/>
      </c>
      <c r="E5" s="10" t="n"/>
      <c r="F5" s="11">
        <f>IF(OR(E5="",E5&lt;=1),"",ROUND((SUM($C$2:$C$11)-C5)/(E5-1),2))</f>
        <v/>
      </c>
    </row>
    <row r="6">
      <c r="A6" s="6" t="inlineStr">
        <is>
          <t>XenoArtifactToolWirecutter</t>
        </is>
      </c>
      <c r="B6" s="7" t="inlineStr">
        <is>
          <t>Tool Wirecutter</t>
        </is>
      </c>
      <c r="C6" s="8" t="n">
        <v>3</v>
      </c>
      <c r="D6" s="9">
        <f>IF(C6=0,"never",ROUND(SUM($C$2:$C$11)/C6,1))</f>
        <v/>
      </c>
      <c r="E6" s="10" t="n"/>
      <c r="F6" s="11">
        <f>IF(OR(E6="",E6&lt;=1),"",ROUND((SUM($C$2:$C$11)-C6)/(E6-1),2))</f>
        <v/>
      </c>
    </row>
    <row r="7">
      <c r="A7" s="6" t="inlineStr">
        <is>
          <t>XenoArtifactToolJaws</t>
        </is>
      </c>
      <c r="B7" s="7" t="inlineStr">
        <is>
          <t>Tool Jaws</t>
        </is>
      </c>
      <c r="C7" s="8" t="n">
        <v>3</v>
      </c>
      <c r="D7" s="9">
        <f>IF(C7=0,"never",ROUND(SUM($C$2:$C$11)/C7,1))</f>
        <v/>
      </c>
      <c r="E7" s="10" t="n"/>
      <c r="F7" s="11">
        <f>IF(OR(E7="",E7&lt;=1),"",ROUND((SUM($C$2:$C$11)-C7)/(E7-1),2))</f>
        <v/>
      </c>
    </row>
    <row r="8">
      <c r="A8" s="6" t="inlineStr">
        <is>
          <t>XenoArtifactToolPowerDrill</t>
        </is>
      </c>
      <c r="B8" s="7" t="inlineStr">
        <is>
          <t>Tool Power Drill</t>
        </is>
      </c>
      <c r="C8" s="8" t="n">
        <v>3</v>
      </c>
      <c r="D8" s="9">
        <f>IF(C8=0,"never",ROUND(SUM($C$2:$C$11)/C8,1))</f>
        <v/>
      </c>
      <c r="E8" s="10" t="n"/>
      <c r="F8" s="11">
        <f>IF(OR(E8="",E8&lt;=1),"",ROUND((SUM($C$2:$C$11)-C8)/(E8-1),2))</f>
        <v/>
      </c>
    </row>
    <row r="9">
      <c r="A9" s="6" t="inlineStr">
        <is>
          <t>XenoArtifactToolKnife</t>
        </is>
      </c>
      <c r="B9" s="7" t="inlineStr">
        <is>
          <t>Tool Knife</t>
        </is>
      </c>
      <c r="C9" s="8" t="n">
        <v>2</v>
      </c>
      <c r="D9" s="9">
        <f>IF(C9=0,"never",ROUND(SUM($C$2:$C$11)/C9,1))</f>
        <v/>
      </c>
      <c r="E9" s="10" t="n"/>
      <c r="F9" s="11">
        <f>IF(OR(E9="",E9&lt;=1),"",ROUND((SUM($C$2:$C$11)-C9)/(E9-1),2))</f>
        <v/>
      </c>
    </row>
    <row r="10">
      <c r="A10" s="6" t="inlineStr">
        <is>
          <t>XenoArtifactOmnitool</t>
        </is>
      </c>
      <c r="B10" s="7" t="inlineStr">
        <is>
          <t>Omnitool</t>
        </is>
      </c>
      <c r="C10" s="8" t="n">
        <v>2</v>
      </c>
      <c r="D10" s="9">
        <f>IF(C10=0,"never",ROUND(SUM($C$2:$C$11)/C10,1))</f>
        <v/>
      </c>
      <c r="E10" s="10" t="n"/>
      <c r="F10" s="11">
        <f>IF(OR(E10="",E10&lt;=1),"",ROUND((SUM($C$2:$C$11)-C10)/(E10-1),2))</f>
        <v/>
      </c>
    </row>
    <row r="11">
      <c r="A11" s="6" t="inlineStr">
        <is>
          <t>XenoArtifactToolDrill</t>
        </is>
      </c>
      <c r="B11" s="7" t="inlineStr">
        <is>
          <t>Tool Drill</t>
        </is>
      </c>
      <c r="C11" s="8" t="n">
        <v>5</v>
      </c>
      <c r="D11" s="9">
        <f>IF(C11=0,"never",ROUND(SUM($C$2:$C$11)/C11,1))</f>
        <v/>
      </c>
      <c r="E11" s="10" t="n"/>
      <c r="F11" s="11">
        <f>IF(OR(E11="",E11&lt;=1),"",ROUND((SUM($C$2:$C$11)-C11)/(E11-1),2))</f>
        <v/>
      </c>
    </row>
    <row r="12">
      <c r="A12" s="12" t="n"/>
      <c r="B12" s="13" t="inlineStr">
        <is>
          <t>TOTAL WEIGHT</t>
        </is>
      </c>
      <c r="C12" s="14">
        <f>SUM($C$2:$C$11)</f>
        <v/>
      </c>
      <c r="D12" s="12" t="n"/>
      <c r="E12" s="12" t="n"/>
      <c r="F12" s="1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1" customWidth="1" min="3" max="3"/>
    <col width="15" customWidth="1" min="4" max="4"/>
    <col width="14" customWidth="1" min="5" max="5"/>
    <col width="16" customWidth="1" min="6" max="6"/>
  </cols>
  <sheetData>
    <row r="1" ht="30" customHeight="1">
      <c r="A1" s="5" t="inlineStr">
        <is>
          <t>ID (do not edit)</t>
        </is>
      </c>
      <c r="B1" s="5" t="inlineStr">
        <is>
          <t>Description</t>
        </is>
      </c>
      <c r="C1" s="5" t="inlineStr">
        <is>
          <t>Weight</t>
        </is>
      </c>
      <c r="D1" s="5" t="inlineStr">
        <is>
          <t>Appears ~1 in X</t>
        </is>
      </c>
      <c r="E1" s="5" t="inlineStr">
        <is>
          <t>Target: 1 in X</t>
        </is>
      </c>
      <c r="F1" s="5" t="inlineStr">
        <is>
          <t>Suggested weight</t>
        </is>
      </c>
    </row>
    <row r="2">
      <c r="A2" s="6" t="inlineStr">
        <is>
          <t>XenoArtifactSpeedUp</t>
        </is>
      </c>
      <c r="B2" s="7" t="inlineStr">
        <is>
          <t>Speed Up</t>
        </is>
      </c>
      <c r="C2" s="8" t="n">
        <v>10</v>
      </c>
      <c r="D2" s="9">
        <f>IF(C2=0,"never",ROUND(SUM($C$2:$C$11)/C2,1))</f>
        <v/>
      </c>
      <c r="E2" s="10" t="n"/>
      <c r="F2" s="11">
        <f>IF(OR(E2="",E2&lt;=1),"",ROUND((SUM($C$2:$C$11)-C2)/(E2-1),2))</f>
        <v/>
      </c>
    </row>
    <row r="3">
      <c r="A3" s="6" t="inlineStr">
        <is>
          <t>XenoArtifactToolCrowbar</t>
        </is>
      </c>
      <c r="B3" s="7" t="inlineStr">
        <is>
          <t>Tool Crowbar</t>
        </is>
      </c>
      <c r="C3" s="8" t="n">
        <v>0</v>
      </c>
      <c r="D3" s="9">
        <f>IF(C3=0,"never",ROUND(SUM($C$2:$C$11)/C3,1))</f>
        <v/>
      </c>
      <c r="E3" s="10" t="n"/>
      <c r="F3" s="11">
        <f>IF(OR(E3="",E3&lt;=1),"",ROUND((SUM($C$2:$C$11)-C3)/(E3-1),2))</f>
        <v/>
      </c>
    </row>
    <row r="4">
      <c r="A4" s="6" t="inlineStr">
        <is>
          <t>XenoArtifactToolScrewdriver</t>
        </is>
      </c>
      <c r="B4" s="7" t="inlineStr">
        <is>
          <t>Tool Screwdriver</t>
        </is>
      </c>
      <c r="C4" s="8" t="n">
        <v>0</v>
      </c>
      <c r="D4" s="9">
        <f>IF(C4=0,"never",ROUND(SUM($C$2:$C$11)/C4,1))</f>
        <v/>
      </c>
      <c r="E4" s="10" t="n"/>
      <c r="F4" s="11">
        <f>IF(OR(E4="",E4&lt;=1),"",ROUND((SUM($C$2:$C$11)-C4)/(E4-1),2))</f>
        <v/>
      </c>
    </row>
    <row r="5">
      <c r="A5" s="6" t="inlineStr">
        <is>
          <t>XenoArtifactToolWrench</t>
        </is>
      </c>
      <c r="B5" s="7" t="inlineStr">
        <is>
          <t>Tool Wrench</t>
        </is>
      </c>
      <c r="C5" s="8" t="n">
        <v>0</v>
      </c>
      <c r="D5" s="9">
        <f>IF(C5=0,"never",ROUND(SUM($C$2:$C$11)/C5,1))</f>
        <v/>
      </c>
      <c r="E5" s="10" t="n"/>
      <c r="F5" s="11">
        <f>IF(OR(E5="",E5&lt;=1),"",ROUND((SUM($C$2:$C$11)-C5)/(E5-1),2))</f>
        <v/>
      </c>
    </row>
    <row r="6">
      <c r="A6" s="6" t="inlineStr">
        <is>
          <t>XenoArtifactToolWirecutter</t>
        </is>
      </c>
      <c r="B6" s="7" t="inlineStr">
        <is>
          <t>Tool Wirecutter</t>
        </is>
      </c>
      <c r="C6" s="8" t="n">
        <v>0</v>
      </c>
      <c r="D6" s="9">
        <f>IF(C6=0,"never",ROUND(SUM($C$2:$C$11)/C6,1))</f>
        <v/>
      </c>
      <c r="E6" s="10" t="n"/>
      <c r="F6" s="11">
        <f>IF(OR(E6="",E6&lt;=1),"",ROUND((SUM($C$2:$C$11)-C6)/(E6-1),2))</f>
        <v/>
      </c>
    </row>
    <row r="7">
      <c r="A7" s="6" t="inlineStr">
        <is>
          <t>XenoArtifactToolJaws</t>
        </is>
      </c>
      <c r="B7" s="7" t="inlineStr">
        <is>
          <t>Tool Jaws</t>
        </is>
      </c>
      <c r="C7" s="8" t="n">
        <v>3</v>
      </c>
      <c r="D7" s="9">
        <f>IF(C7=0,"never",ROUND(SUM($C$2:$C$11)/C7,1))</f>
        <v/>
      </c>
      <c r="E7" s="10" t="n"/>
      <c r="F7" s="11">
        <f>IF(OR(E7="",E7&lt;=1),"",ROUND((SUM($C$2:$C$11)-C7)/(E7-1),2))</f>
        <v/>
      </c>
    </row>
    <row r="8">
      <c r="A8" s="6" t="inlineStr">
        <is>
          <t>XenoArtifactToolPowerDrill</t>
        </is>
      </c>
      <c r="B8" s="7" t="inlineStr">
        <is>
          <t>Tool Power Drill</t>
        </is>
      </c>
      <c r="C8" s="8" t="n">
        <v>3</v>
      </c>
      <c r="D8" s="9">
        <f>IF(C8=0,"never",ROUND(SUM($C$2:$C$11)/C8,1))</f>
        <v/>
      </c>
      <c r="E8" s="10" t="n"/>
      <c r="F8" s="11">
        <f>IF(OR(E8="",E8&lt;=1),"",ROUND((SUM($C$2:$C$11)-C8)/(E8-1),2))</f>
        <v/>
      </c>
    </row>
    <row r="9">
      <c r="A9" s="6" t="inlineStr">
        <is>
          <t>XenoArtifactToolKnife</t>
        </is>
      </c>
      <c r="B9" s="7" t="inlineStr">
        <is>
          <t>Tool Knife</t>
        </is>
      </c>
      <c r="C9" s="8" t="n">
        <v>3</v>
      </c>
      <c r="D9" s="9">
        <f>IF(C9=0,"never",ROUND(SUM($C$2:$C$11)/C9,1))</f>
        <v/>
      </c>
      <c r="E9" s="10" t="n"/>
      <c r="F9" s="11">
        <f>IF(OR(E9="",E9&lt;=1),"",ROUND((SUM($C$2:$C$11)-C9)/(E9-1),2))</f>
        <v/>
      </c>
    </row>
    <row r="10">
      <c r="A10" s="6" t="inlineStr">
        <is>
          <t>XenoArtifactOmnitool</t>
        </is>
      </c>
      <c r="B10" s="7" t="inlineStr">
        <is>
          <t>Omnitool</t>
        </is>
      </c>
      <c r="C10" s="8" t="n">
        <v>8</v>
      </c>
      <c r="D10" s="9">
        <f>IF(C10=0,"never",ROUND(SUM($C$2:$C$11)/C10,1))</f>
        <v/>
      </c>
      <c r="E10" s="10" t="n"/>
      <c r="F10" s="11">
        <f>IF(OR(E10="",E10&lt;=1),"",ROUND((SUM($C$2:$C$11)-C10)/(E10-1),2))</f>
        <v/>
      </c>
    </row>
    <row r="11">
      <c r="A11" s="6" t="inlineStr">
        <is>
          <t>XenoArtifactToolDrill</t>
        </is>
      </c>
      <c r="B11" s="7" t="inlineStr">
        <is>
          <t>Tool Drill</t>
        </is>
      </c>
      <c r="C11" s="8" t="n">
        <v>3</v>
      </c>
      <c r="D11" s="9">
        <f>IF(C11=0,"never",ROUND(SUM($C$2:$C$11)/C11,1))</f>
        <v/>
      </c>
      <c r="E11" s="10" t="n"/>
      <c r="F11" s="11">
        <f>IF(OR(E11="",E11&lt;=1),"",ROUND((SUM($C$2:$C$11)-C11)/(E11-1),2))</f>
        <v/>
      </c>
    </row>
    <row r="12">
      <c r="A12" s="12" t="n"/>
      <c r="B12" s="13" t="inlineStr">
        <is>
          <t>TOTAL WEIGHT</t>
        </is>
      </c>
      <c r="C12" s="14">
        <f>SUM($C$2:$C$11)</f>
        <v/>
      </c>
      <c r="D12" s="12" t="n"/>
      <c r="E12" s="12" t="n"/>
      <c r="F12" s="12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2026-09-12T10:54:47Z</dcterms:created>
  <dcterms:modified xmlns:dcterms="http://purl.org/dc/terms/" xmlns:xsi="http://www.w3.org/2001/XMLSchema-instance" xsi:type="dcterms:W3CDTF">2026-09-12T10:54:47Z</dcterms:modified>
</cp:coreProperties>
</file>